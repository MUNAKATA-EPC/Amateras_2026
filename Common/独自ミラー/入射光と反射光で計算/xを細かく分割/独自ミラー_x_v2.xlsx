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独自ミラー\入射光と反射光で計算\xを細かく分割\"/>
    </mc:Choice>
  </mc:AlternateContent>
  <xr:revisionPtr revIDLastSave="0" documentId="13_ncr:1_{00973EC7-4E33-4FA9-8D81-AC465ADCC809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H12" i="1"/>
  <c r="E12" i="1"/>
  <c r="D12" i="1"/>
  <c r="J15" i="1"/>
  <c r="B13" i="1"/>
  <c r="B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6" i="1"/>
  <c r="B7" i="1" s="1"/>
  <c r="F4" i="1"/>
  <c r="H5" i="1"/>
  <c r="C12" i="1" l="1"/>
  <c r="A12" i="1" a="1"/>
  <c r="B12" i="1" l="1"/>
  <c r="A12" i="1"/>
  <c r="J12" i="1" l="1"/>
  <c r="G12" i="1"/>
  <c r="C13" i="1" s="1"/>
  <c r="D13" i="1" s="1"/>
  <c r="K12" i="1"/>
  <c r="E13" i="1" l="1"/>
  <c r="F13" i="1"/>
  <c r="H13" i="1"/>
  <c r="G13" i="1" l="1"/>
  <c r="C14" i="1" s="1"/>
  <c r="D14" i="1" s="1"/>
  <c r="J13" i="1"/>
  <c r="K13" i="1"/>
  <c r="E14" i="1" l="1"/>
  <c r="F14" i="1"/>
  <c r="J14" i="1"/>
  <c r="K14" i="1"/>
  <c r="G14" i="1" l="1"/>
  <c r="C15" i="1" s="1"/>
  <c r="D15" i="1" s="1"/>
  <c r="H14" i="1"/>
  <c r="E15" i="1" l="1"/>
  <c r="F15" i="1"/>
  <c r="G15" i="1" s="1"/>
  <c r="C16" i="1" s="1"/>
  <c r="D16" i="1" s="1"/>
  <c r="K15" i="1"/>
  <c r="E16" i="1" l="1"/>
  <c r="F16" i="1"/>
  <c r="G16" i="1" s="1"/>
  <c r="C17" i="1" s="1"/>
  <c r="D17" i="1" s="1"/>
  <c r="H15" i="1"/>
  <c r="K16" i="1"/>
  <c r="E17" i="1" l="1"/>
  <c r="F17" i="1"/>
  <c r="H17" i="1" s="1"/>
  <c r="H16" i="1"/>
  <c r="K17" i="1"/>
  <c r="J16" i="1"/>
  <c r="G17" i="1" l="1"/>
  <c r="C18" i="1" s="1"/>
  <c r="D18" i="1" s="1"/>
  <c r="J17" i="1"/>
  <c r="E18" i="1" l="1"/>
  <c r="F18" i="1"/>
  <c r="H18" i="1" s="1"/>
  <c r="K18" i="1"/>
  <c r="J18" i="1"/>
  <c r="G18" i="1" l="1"/>
  <c r="C19" i="1" s="1"/>
  <c r="J19" i="1"/>
  <c r="D19" i="1" l="1"/>
  <c r="K19" i="1"/>
  <c r="J20" i="1"/>
  <c r="E19" i="1" l="1"/>
  <c r="F19" i="1"/>
  <c r="H19" i="1" s="1"/>
  <c r="J21" i="1"/>
  <c r="G19" i="1" l="1"/>
  <c r="C20" i="1" s="1"/>
  <c r="D20" i="1" l="1"/>
  <c r="K20" i="1"/>
  <c r="J22" i="1"/>
  <c r="E20" i="1" l="1"/>
  <c r="F20" i="1"/>
  <c r="H20" i="1"/>
  <c r="J23" i="1"/>
  <c r="G20" i="1" l="1"/>
  <c r="C21" i="1" s="1"/>
  <c r="J24" i="1"/>
  <c r="K21" i="1" l="1"/>
  <c r="D21" i="1"/>
  <c r="J25" i="1"/>
  <c r="E21" i="1" l="1"/>
  <c r="F21" i="1"/>
  <c r="H21" i="1"/>
  <c r="G21" i="1" l="1"/>
  <c r="C22" i="1" s="1"/>
  <c r="J26" i="1"/>
  <c r="D22" i="1" l="1"/>
  <c r="K22" i="1"/>
  <c r="E22" i="1" l="1"/>
  <c r="F22" i="1"/>
  <c r="H22" i="1"/>
  <c r="G22" i="1" l="1"/>
  <c r="C23" i="1" s="1"/>
  <c r="K23" i="1" s="1"/>
  <c r="J28" i="1"/>
  <c r="D23" i="1" l="1"/>
  <c r="J29" i="1"/>
  <c r="E23" i="1" l="1"/>
  <c r="F23" i="1"/>
  <c r="H23" i="1" s="1"/>
  <c r="G23" i="1"/>
  <c r="C24" i="1" s="1"/>
  <c r="J30" i="1"/>
  <c r="D24" i="1" l="1"/>
  <c r="K24" i="1"/>
  <c r="J31" i="1"/>
  <c r="E24" i="1" l="1"/>
  <c r="F24" i="1"/>
  <c r="G24" i="1" s="1"/>
  <c r="C25" i="1" s="1"/>
  <c r="H24" i="1"/>
  <c r="D25" i="1" l="1"/>
  <c r="K25" i="1"/>
  <c r="J27" i="1"/>
  <c r="J32" i="1"/>
  <c r="E25" i="1" l="1"/>
  <c r="F25" i="1"/>
  <c r="H25" i="1"/>
  <c r="G25" i="1"/>
  <c r="C26" i="1" s="1"/>
  <c r="K26" i="1" l="1"/>
  <c r="D26" i="1"/>
  <c r="J33" i="1"/>
  <c r="E26" i="1" l="1"/>
  <c r="F26" i="1"/>
  <c r="H26" i="1"/>
  <c r="J34" i="1"/>
  <c r="G26" i="1" l="1"/>
  <c r="C27" i="1" s="1"/>
  <c r="D27" i="1" s="1"/>
  <c r="E27" i="1" l="1"/>
  <c r="F27" i="1"/>
  <c r="K27" i="1"/>
  <c r="H27" i="1"/>
  <c r="J35" i="1"/>
  <c r="G27" i="1" l="1"/>
  <c r="C28" i="1" s="1"/>
  <c r="D28" i="1" s="1"/>
  <c r="E28" i="1" l="1"/>
  <c r="F28" i="1"/>
  <c r="K28" i="1"/>
  <c r="J36" i="1"/>
  <c r="H28" i="1" l="1"/>
  <c r="G28" i="1"/>
  <c r="C29" i="1" s="1"/>
  <c r="J37" i="1"/>
  <c r="D29" i="1" l="1"/>
  <c r="K29" i="1"/>
  <c r="J38" i="1"/>
  <c r="E29" i="1" l="1"/>
  <c r="F29" i="1"/>
  <c r="H29" i="1"/>
  <c r="J39" i="1"/>
  <c r="G29" i="1" l="1"/>
  <c r="C30" i="1" s="1"/>
  <c r="K30" i="1" s="1"/>
  <c r="J40" i="1"/>
  <c r="D30" i="1" l="1"/>
  <c r="J41" i="1"/>
  <c r="E30" i="1" l="1"/>
  <c r="F30" i="1"/>
  <c r="H30" i="1" s="1"/>
  <c r="G30" i="1" l="1"/>
  <c r="C31" i="1" s="1"/>
  <c r="K31" i="1"/>
  <c r="D31" i="1"/>
  <c r="J42" i="1"/>
  <c r="E31" i="1" l="1"/>
  <c r="F31" i="1"/>
  <c r="H31" i="1"/>
  <c r="G31" i="1" l="1"/>
  <c r="C32" i="1" s="1"/>
  <c r="D32" i="1" s="1"/>
  <c r="J43" i="1"/>
  <c r="E32" i="1" l="1"/>
  <c r="F32" i="1"/>
  <c r="H32" i="1" s="1"/>
  <c r="K32" i="1"/>
  <c r="J44" i="1"/>
  <c r="G32" i="1" l="1"/>
  <c r="C33" i="1" s="1"/>
  <c r="D33" i="1" s="1"/>
  <c r="E33" i="1" l="1"/>
  <c r="F33" i="1"/>
  <c r="H33" i="1" s="1"/>
  <c r="K33" i="1"/>
  <c r="J45" i="1"/>
  <c r="G33" i="1" l="1"/>
  <c r="C34" i="1" s="1"/>
  <c r="J46" i="1"/>
  <c r="D34" i="1" l="1"/>
  <c r="K34" i="1"/>
  <c r="E34" i="1" l="1"/>
  <c r="F34" i="1"/>
  <c r="H34" i="1"/>
  <c r="G34" i="1"/>
  <c r="C35" i="1" s="1"/>
  <c r="J47" i="1"/>
  <c r="D35" i="1" l="1"/>
  <c r="K35" i="1"/>
  <c r="J48" i="1"/>
  <c r="E35" i="1" l="1"/>
  <c r="F35" i="1"/>
  <c r="H35" i="1" s="1"/>
  <c r="G35" i="1"/>
  <c r="C36" i="1" s="1"/>
  <c r="J49" i="1"/>
  <c r="D36" i="1" l="1"/>
  <c r="K36" i="1"/>
  <c r="E36" i="1" l="1"/>
  <c r="F36" i="1"/>
  <c r="J50" i="1"/>
  <c r="H36" i="1" l="1"/>
  <c r="G36" i="1"/>
  <c r="C37" i="1" s="1"/>
  <c r="J51" i="1"/>
  <c r="D37" i="1" l="1"/>
  <c r="K37" i="1"/>
  <c r="J52" i="1"/>
  <c r="E37" i="1" l="1"/>
  <c r="F37" i="1"/>
  <c r="H37" i="1"/>
  <c r="J53" i="1"/>
  <c r="G37" i="1" l="1"/>
  <c r="C38" i="1" s="1"/>
  <c r="J54" i="1"/>
  <c r="D38" i="1" l="1"/>
  <c r="K38" i="1"/>
  <c r="J55" i="1"/>
  <c r="E38" i="1" l="1"/>
  <c r="F38" i="1"/>
  <c r="H38" i="1" s="1"/>
  <c r="G38" i="1" l="1"/>
  <c r="C39" i="1" s="1"/>
  <c r="D39" i="1" s="1"/>
  <c r="J56" i="1"/>
  <c r="E39" i="1" l="1"/>
  <c r="F39" i="1"/>
  <c r="H39" i="1" s="1"/>
  <c r="K39" i="1"/>
  <c r="J57" i="1"/>
  <c r="G39" i="1" l="1"/>
  <c r="C40" i="1" s="1"/>
  <c r="D40" i="1"/>
  <c r="K40" i="1"/>
  <c r="E40" i="1" l="1"/>
  <c r="F40" i="1"/>
  <c r="H40" i="1"/>
  <c r="G40" i="1"/>
  <c r="C41" i="1" s="1"/>
  <c r="J58" i="1"/>
  <c r="D41" i="1" l="1"/>
  <c r="K41" i="1"/>
  <c r="E41" i="1" l="1"/>
  <c r="F41" i="1"/>
  <c r="J59" i="1"/>
  <c r="H41" i="1" l="1"/>
  <c r="G41" i="1"/>
  <c r="C42" i="1" s="1"/>
  <c r="J60" i="1"/>
  <c r="D42" i="1" l="1"/>
  <c r="K42" i="1"/>
  <c r="E42" i="1" l="1"/>
  <c r="F42" i="1"/>
  <c r="H42" i="1" s="1"/>
  <c r="J61" i="1"/>
  <c r="G42" i="1" l="1"/>
  <c r="C43" i="1" s="1"/>
  <c r="D43" i="1" l="1"/>
  <c r="K43" i="1"/>
  <c r="J62" i="1"/>
  <c r="E43" i="1" l="1"/>
  <c r="F43" i="1"/>
  <c r="H43" i="1"/>
  <c r="J63" i="1"/>
  <c r="G43" i="1" l="1"/>
  <c r="C44" i="1" s="1"/>
  <c r="D44" i="1" s="1"/>
  <c r="E44" i="1" l="1"/>
  <c r="F44" i="1"/>
  <c r="K44" i="1"/>
  <c r="H44" i="1"/>
  <c r="J64" i="1"/>
  <c r="G44" i="1" l="1"/>
  <c r="C45" i="1" s="1"/>
  <c r="D45" i="1" s="1"/>
  <c r="E45" i="1" l="1"/>
  <c r="F45" i="1"/>
  <c r="H45" i="1" s="1"/>
  <c r="K45" i="1"/>
  <c r="J65" i="1"/>
  <c r="G45" i="1" l="1"/>
  <c r="C46" i="1" s="1"/>
  <c r="J66" i="1"/>
  <c r="D46" i="1" l="1"/>
  <c r="K46" i="1"/>
  <c r="E46" i="1" l="1"/>
  <c r="F46" i="1"/>
  <c r="H46" i="1"/>
  <c r="J67" i="1"/>
  <c r="G46" i="1" l="1"/>
  <c r="C47" i="1" s="1"/>
  <c r="D47" i="1" l="1"/>
  <c r="K47" i="1"/>
  <c r="J68" i="1"/>
  <c r="E47" i="1" l="1"/>
  <c r="F47" i="1"/>
  <c r="H47" i="1"/>
  <c r="J69" i="1"/>
  <c r="G47" i="1" l="1"/>
  <c r="C48" i="1" s="1"/>
  <c r="D48" i="1" l="1"/>
  <c r="K48" i="1"/>
  <c r="J70" i="1"/>
  <c r="E48" i="1" l="1"/>
  <c r="F48" i="1"/>
  <c r="H48" i="1"/>
  <c r="G48" i="1" l="1"/>
  <c r="C49" i="1" s="1"/>
  <c r="J71" i="1"/>
  <c r="K49" i="1" l="1"/>
  <c r="D49" i="1"/>
  <c r="J72" i="1"/>
  <c r="E49" i="1" l="1"/>
  <c r="F49" i="1"/>
  <c r="H49" i="1" s="1"/>
  <c r="G49" i="1" l="1"/>
  <c r="C50" i="1" s="1"/>
  <c r="J73" i="1"/>
  <c r="D50" i="1" l="1"/>
  <c r="K50" i="1"/>
  <c r="E50" i="1" l="1"/>
  <c r="F50" i="1"/>
  <c r="G50" i="1" s="1"/>
  <c r="C51" i="1" s="1"/>
  <c r="J74" i="1"/>
  <c r="H50" i="1" l="1"/>
  <c r="D51" i="1"/>
  <c r="K51" i="1"/>
  <c r="J75" i="1"/>
  <c r="E51" i="1" l="1"/>
  <c r="F51" i="1"/>
  <c r="H51" i="1" s="1"/>
  <c r="G51" i="1" l="1"/>
  <c r="C52" i="1" s="1"/>
  <c r="J76" i="1"/>
  <c r="D52" i="1" l="1"/>
  <c r="K52" i="1"/>
  <c r="E52" i="1" l="1"/>
  <c r="F52" i="1"/>
  <c r="H52" i="1" s="1"/>
  <c r="J77" i="1"/>
  <c r="G52" i="1" l="1"/>
  <c r="C53" i="1" s="1"/>
  <c r="D53" i="1" s="1"/>
  <c r="J78" i="1"/>
  <c r="E53" i="1" l="1"/>
  <c r="F53" i="1"/>
  <c r="K53" i="1"/>
  <c r="H53" i="1"/>
  <c r="G53" i="1"/>
  <c r="C54" i="1" s="1"/>
  <c r="D54" i="1" l="1"/>
  <c r="K54" i="1"/>
  <c r="J79" i="1"/>
  <c r="E54" i="1" l="1"/>
  <c r="F54" i="1"/>
  <c r="H54" i="1" s="1"/>
  <c r="G54" i="1"/>
  <c r="C55" i="1" s="1"/>
  <c r="K55" i="1" l="1"/>
  <c r="D55" i="1"/>
  <c r="J80" i="1"/>
  <c r="E55" i="1" l="1"/>
  <c r="F55" i="1"/>
  <c r="H55" i="1"/>
  <c r="J81" i="1"/>
  <c r="G55" i="1" l="1"/>
  <c r="C56" i="1" s="1"/>
  <c r="D56" i="1" s="1"/>
  <c r="E56" i="1" l="1"/>
  <c r="F56" i="1"/>
  <c r="K56" i="1"/>
  <c r="H56" i="1"/>
  <c r="J82" i="1"/>
  <c r="G56" i="1" l="1"/>
  <c r="C57" i="1" s="1"/>
  <c r="D57" i="1" l="1"/>
  <c r="K57" i="1"/>
  <c r="J83" i="1"/>
  <c r="E57" i="1" l="1"/>
  <c r="F57" i="1"/>
  <c r="H57" i="1" s="1"/>
  <c r="J84" i="1"/>
  <c r="G57" i="1" l="1"/>
  <c r="C58" i="1" s="1"/>
  <c r="K58" i="1" s="1"/>
  <c r="D58" i="1" l="1"/>
  <c r="E58" i="1" s="1"/>
  <c r="F58" i="1"/>
  <c r="H58" i="1" s="1"/>
  <c r="J85" i="1"/>
  <c r="G58" i="1" l="1"/>
  <c r="C59" i="1" s="1"/>
  <c r="D59" i="1"/>
  <c r="K59" i="1"/>
  <c r="E59" i="1" l="1"/>
  <c r="F59" i="1"/>
  <c r="J86" i="1"/>
  <c r="H59" i="1" l="1"/>
  <c r="G59" i="1"/>
  <c r="C60" i="1" s="1"/>
  <c r="J87" i="1"/>
  <c r="D60" i="1" l="1"/>
  <c r="K60" i="1"/>
  <c r="E60" i="1" l="1"/>
  <c r="F60" i="1"/>
  <c r="H60" i="1"/>
  <c r="J88" i="1"/>
  <c r="G60" i="1" l="1"/>
  <c r="C61" i="1" s="1"/>
  <c r="D61" i="1" l="1"/>
  <c r="K61" i="1"/>
  <c r="J89" i="1"/>
  <c r="E61" i="1" l="1"/>
  <c r="F61" i="1"/>
  <c r="G61" i="1" s="1"/>
  <c r="C62" i="1" s="1"/>
  <c r="J90" i="1"/>
  <c r="H61" i="1" l="1"/>
  <c r="D62" i="1"/>
  <c r="K62" i="1"/>
  <c r="E62" i="1" l="1"/>
  <c r="F62" i="1"/>
  <c r="G62" i="1" s="1"/>
  <c r="C63" i="1" s="1"/>
  <c r="H62" i="1"/>
  <c r="J91" i="1"/>
  <c r="D63" i="1" l="1"/>
  <c r="K63" i="1"/>
  <c r="E63" i="1" l="1"/>
  <c r="F63" i="1"/>
  <c r="J92" i="1"/>
  <c r="H63" i="1" l="1"/>
  <c r="G63" i="1"/>
  <c r="C64" i="1" s="1"/>
  <c r="J93" i="1"/>
  <c r="D64" i="1" l="1"/>
  <c r="K64" i="1"/>
  <c r="E64" i="1" l="1"/>
  <c r="F64" i="1"/>
  <c r="H64" i="1" s="1"/>
  <c r="J94" i="1"/>
  <c r="G64" i="1" l="1"/>
  <c r="C65" i="1" s="1"/>
  <c r="D65" i="1" s="1"/>
  <c r="K65" i="1"/>
  <c r="E65" i="1" l="1"/>
  <c r="F65" i="1"/>
  <c r="J95" i="1"/>
  <c r="H65" i="1" l="1"/>
  <c r="G65" i="1"/>
  <c r="C66" i="1" s="1"/>
  <c r="J96" i="1"/>
  <c r="D66" i="1" l="1"/>
  <c r="K66" i="1"/>
  <c r="E66" i="1" l="1"/>
  <c r="F66" i="1"/>
  <c r="H66" i="1" s="1"/>
  <c r="J97" i="1"/>
  <c r="G66" i="1" l="1"/>
  <c r="C67" i="1" s="1"/>
  <c r="D67" i="1"/>
  <c r="K67" i="1"/>
  <c r="E67" i="1" l="1"/>
  <c r="F67" i="1"/>
  <c r="J98" i="1"/>
  <c r="H67" i="1" l="1"/>
  <c r="G67" i="1"/>
  <c r="C68" i="1" s="1"/>
  <c r="J99" i="1"/>
  <c r="D68" i="1" l="1"/>
  <c r="K68" i="1"/>
  <c r="E68" i="1" l="1"/>
  <c r="F68" i="1"/>
  <c r="H68" i="1" s="1"/>
  <c r="G68" i="1"/>
  <c r="C69" i="1" s="1"/>
  <c r="J100" i="1"/>
  <c r="D69" i="1" l="1"/>
  <c r="K69" i="1"/>
  <c r="E69" i="1" l="1"/>
  <c r="F69" i="1"/>
  <c r="J101" i="1"/>
  <c r="H69" i="1" l="1"/>
  <c r="G69" i="1"/>
  <c r="C70" i="1" s="1"/>
  <c r="J102" i="1"/>
  <c r="D70" i="1" l="1"/>
  <c r="K70" i="1"/>
  <c r="E70" i="1" l="1"/>
  <c r="F70" i="1"/>
  <c r="H70" i="1" s="1"/>
  <c r="G70" i="1"/>
  <c r="C71" i="1" s="1"/>
  <c r="J103" i="1"/>
  <c r="D71" i="1" l="1"/>
  <c r="K71" i="1"/>
  <c r="E71" i="1" l="1"/>
  <c r="F71" i="1"/>
  <c r="J104" i="1"/>
  <c r="H71" i="1" l="1"/>
  <c r="G71" i="1"/>
  <c r="C72" i="1" s="1"/>
  <c r="J105" i="1"/>
  <c r="D72" i="1" l="1"/>
  <c r="K72" i="1"/>
  <c r="E72" i="1" l="1"/>
  <c r="F72" i="1"/>
  <c r="H72" i="1" s="1"/>
  <c r="J106" i="1"/>
  <c r="G72" i="1" l="1"/>
  <c r="C73" i="1" s="1"/>
  <c r="D73" i="1" l="1"/>
  <c r="K73" i="1"/>
  <c r="J107" i="1"/>
  <c r="E73" i="1" l="1"/>
  <c r="F73" i="1"/>
  <c r="H73" i="1" s="1"/>
  <c r="J108" i="1"/>
  <c r="G73" i="1" l="1"/>
  <c r="C74" i="1" s="1"/>
  <c r="D74" i="1" l="1"/>
  <c r="K74" i="1"/>
  <c r="J109" i="1"/>
  <c r="E74" i="1" l="1"/>
  <c r="F74" i="1"/>
  <c r="H74" i="1" s="1"/>
  <c r="G74" i="1" l="1"/>
  <c r="C75" i="1" s="1"/>
  <c r="D75" i="1" s="1"/>
  <c r="J110" i="1"/>
  <c r="E75" i="1" l="1"/>
  <c r="F75" i="1"/>
  <c r="K75" i="1"/>
  <c r="H75" i="1"/>
  <c r="J111" i="1"/>
  <c r="G75" i="1" l="1"/>
  <c r="C76" i="1" s="1"/>
  <c r="D76" i="1" s="1"/>
  <c r="E76" i="1" l="1"/>
  <c r="F76" i="1"/>
  <c r="H76" i="1" s="1"/>
  <c r="K76" i="1"/>
  <c r="J112" i="1"/>
  <c r="G76" i="1" l="1"/>
  <c r="C77" i="1" s="1"/>
  <c r="K77" i="1" l="1"/>
  <c r="D77" i="1"/>
  <c r="J113" i="1"/>
  <c r="E77" i="1" l="1"/>
  <c r="F77" i="1"/>
  <c r="H77" i="1"/>
  <c r="J114" i="1"/>
  <c r="G77" i="1" l="1"/>
  <c r="C78" i="1" s="1"/>
  <c r="K78" i="1" s="1"/>
  <c r="D78" i="1" l="1"/>
  <c r="J115" i="1"/>
  <c r="E78" i="1" l="1"/>
  <c r="F78" i="1"/>
  <c r="H78" i="1" s="1"/>
  <c r="G78" i="1" l="1"/>
  <c r="C79" i="1" s="1"/>
  <c r="K79" i="1"/>
  <c r="D79" i="1"/>
  <c r="J116" i="1"/>
  <c r="E79" i="1" l="1"/>
  <c r="F79" i="1"/>
  <c r="H79" i="1"/>
  <c r="J117" i="1"/>
  <c r="G79" i="1" l="1"/>
  <c r="C80" i="1" s="1"/>
  <c r="D80" i="1" l="1"/>
  <c r="K80" i="1"/>
  <c r="J118" i="1"/>
  <c r="E80" i="1" l="1"/>
  <c r="F80" i="1"/>
  <c r="G80" i="1" s="1"/>
  <c r="C81" i="1" s="1"/>
  <c r="H80" i="1" l="1"/>
  <c r="D81" i="1"/>
  <c r="K81" i="1"/>
  <c r="J119" i="1"/>
  <c r="E81" i="1" l="1"/>
  <c r="F81" i="1"/>
  <c r="H81" i="1" s="1"/>
  <c r="J120" i="1"/>
  <c r="G81" i="1" l="1"/>
  <c r="C82" i="1" s="1"/>
  <c r="K82" i="1" s="1"/>
  <c r="D82" i="1" l="1"/>
  <c r="J121" i="1"/>
  <c r="E82" i="1" l="1"/>
  <c r="F82" i="1"/>
  <c r="H82" i="1" s="1"/>
  <c r="G82" i="1" l="1"/>
  <c r="C83" i="1" s="1"/>
  <c r="J122" i="1"/>
  <c r="D83" i="1" l="1"/>
  <c r="F83" i="1" s="1"/>
  <c r="K83" i="1"/>
  <c r="J123" i="1"/>
  <c r="E83" i="1" l="1"/>
  <c r="H83" i="1" l="1"/>
  <c r="G83" i="1"/>
  <c r="C84" i="1" s="1"/>
  <c r="J124" i="1"/>
  <c r="D84" i="1" l="1"/>
  <c r="F84" i="1" s="1"/>
  <c r="K84" i="1"/>
  <c r="E84" i="1" l="1"/>
  <c r="J125" i="1"/>
  <c r="H84" i="1" l="1"/>
  <c r="G84" i="1"/>
  <c r="C85" i="1" s="1"/>
  <c r="J126" i="1"/>
  <c r="D85" i="1" l="1"/>
  <c r="F85" i="1" s="1"/>
  <c r="K85" i="1"/>
  <c r="E85" i="1" l="1"/>
  <c r="J127" i="1"/>
  <c r="H85" i="1" l="1"/>
  <c r="G85" i="1"/>
  <c r="C86" i="1" s="1"/>
  <c r="K86" i="1" l="1"/>
  <c r="D86" i="1"/>
  <c r="F86" i="1" s="1"/>
  <c r="J128" i="1"/>
  <c r="E86" i="1" l="1"/>
  <c r="J129" i="1"/>
  <c r="H86" i="1" l="1"/>
  <c r="G86" i="1"/>
  <c r="C87" i="1" s="1"/>
  <c r="D87" i="1" l="1"/>
  <c r="F87" i="1" s="1"/>
  <c r="K87" i="1"/>
  <c r="J130" i="1"/>
  <c r="E87" i="1" l="1"/>
  <c r="H87" i="1"/>
  <c r="G87" i="1" l="1"/>
  <c r="C88" i="1" s="1"/>
  <c r="J131" i="1"/>
  <c r="D88" i="1" l="1"/>
  <c r="F88" i="1" s="1"/>
  <c r="K88" i="1"/>
  <c r="J132" i="1"/>
  <c r="E88" i="1" l="1"/>
  <c r="H88" i="1"/>
  <c r="G88" i="1"/>
  <c r="C89" i="1" s="1"/>
  <c r="K89" i="1" l="1"/>
  <c r="D89" i="1"/>
  <c r="F89" i="1" s="1"/>
  <c r="J133" i="1"/>
  <c r="E89" i="1" l="1"/>
  <c r="H89" i="1" l="1"/>
  <c r="G89" i="1"/>
  <c r="C90" i="1" s="1"/>
  <c r="J134" i="1"/>
  <c r="D90" i="1" l="1"/>
  <c r="F90" i="1" s="1"/>
  <c r="K90" i="1"/>
  <c r="J135" i="1"/>
  <c r="E90" i="1" l="1"/>
  <c r="H90" i="1"/>
  <c r="G90" i="1"/>
  <c r="C91" i="1" s="1"/>
  <c r="K91" i="1" l="1"/>
  <c r="D91" i="1"/>
  <c r="F91" i="1" s="1"/>
  <c r="J136" i="1"/>
  <c r="E91" i="1" l="1"/>
  <c r="H91" i="1"/>
  <c r="G91" i="1"/>
  <c r="C92" i="1" s="1"/>
  <c r="K92" i="1" l="1"/>
  <c r="D92" i="1"/>
  <c r="F92" i="1" s="1"/>
  <c r="J137" i="1"/>
  <c r="E92" i="1" l="1"/>
  <c r="H92" i="1"/>
  <c r="J138" i="1"/>
  <c r="G92" i="1" l="1"/>
  <c r="C93" i="1" s="1"/>
  <c r="K93" i="1" l="1"/>
  <c r="D93" i="1"/>
  <c r="F93" i="1" s="1"/>
  <c r="J139" i="1"/>
  <c r="E93" i="1" l="1"/>
  <c r="H93" i="1"/>
  <c r="G93" i="1" l="1"/>
  <c r="C94" i="1" s="1"/>
  <c r="J140" i="1"/>
  <c r="D94" i="1" l="1"/>
  <c r="F94" i="1" s="1"/>
  <c r="K94" i="1"/>
  <c r="J141" i="1"/>
  <c r="E94" i="1" l="1"/>
  <c r="H94" i="1"/>
  <c r="G94" i="1" l="1"/>
  <c r="C95" i="1" s="1"/>
  <c r="J142" i="1"/>
  <c r="D95" i="1" l="1"/>
  <c r="F95" i="1" s="1"/>
  <c r="K95" i="1"/>
  <c r="E95" i="1" l="1"/>
  <c r="H95" i="1"/>
  <c r="G95" i="1"/>
  <c r="C96" i="1" s="1"/>
  <c r="J143" i="1"/>
  <c r="K96" i="1" l="1"/>
  <c r="D96" i="1"/>
  <c r="F96" i="1" s="1"/>
  <c r="J144" i="1"/>
  <c r="E96" i="1" l="1"/>
  <c r="H96" i="1"/>
  <c r="G96" i="1"/>
  <c r="C97" i="1" s="1"/>
  <c r="D97" i="1" l="1"/>
  <c r="F97" i="1" s="1"/>
  <c r="K97" i="1"/>
  <c r="J145" i="1"/>
  <c r="E97" i="1" l="1"/>
  <c r="H97" i="1"/>
  <c r="G97" i="1"/>
  <c r="C98" i="1" s="1"/>
  <c r="D98" i="1" l="1"/>
  <c r="F98" i="1" s="1"/>
  <c r="K98" i="1"/>
  <c r="J146" i="1"/>
  <c r="E98" i="1" l="1"/>
  <c r="H98" i="1"/>
  <c r="G98" i="1"/>
  <c r="C99" i="1" s="1"/>
  <c r="J147" i="1"/>
  <c r="D99" i="1" l="1"/>
  <c r="F99" i="1" s="1"/>
  <c r="K99" i="1"/>
  <c r="E99" i="1" l="1"/>
  <c r="H99" i="1"/>
  <c r="J148" i="1"/>
  <c r="G99" i="1" l="1"/>
  <c r="C100" i="1" s="1"/>
  <c r="D100" i="1" l="1"/>
  <c r="F100" i="1" s="1"/>
  <c r="K100" i="1"/>
  <c r="J149" i="1"/>
  <c r="E100" i="1" l="1"/>
  <c r="H100" i="1"/>
  <c r="J150" i="1"/>
  <c r="G100" i="1" l="1"/>
  <c r="C101" i="1" s="1"/>
  <c r="D101" i="1" l="1"/>
  <c r="F101" i="1" s="1"/>
  <c r="K101" i="1"/>
  <c r="J151" i="1"/>
  <c r="E101" i="1" l="1"/>
  <c r="H101" i="1"/>
  <c r="G101" i="1" l="1"/>
  <c r="C102" i="1" s="1"/>
  <c r="J152" i="1"/>
  <c r="D102" i="1" l="1"/>
  <c r="F102" i="1" s="1"/>
  <c r="K102" i="1"/>
  <c r="J153" i="1"/>
  <c r="E102" i="1" l="1"/>
  <c r="H102" i="1"/>
  <c r="G102" i="1" l="1"/>
  <c r="C103" i="1" s="1"/>
  <c r="J154" i="1"/>
  <c r="K103" i="1" l="1"/>
  <c r="D103" i="1"/>
  <c r="F103" i="1" s="1"/>
  <c r="E103" i="1" l="1"/>
  <c r="H103" i="1"/>
  <c r="G103" i="1"/>
  <c r="C104" i="1" s="1"/>
  <c r="J155" i="1"/>
  <c r="D104" i="1" l="1"/>
  <c r="F104" i="1" s="1"/>
  <c r="K104" i="1"/>
  <c r="J156" i="1"/>
  <c r="E104" i="1" l="1"/>
  <c r="H104" i="1"/>
  <c r="G104" i="1"/>
  <c r="C105" i="1" s="1"/>
  <c r="D105" i="1" l="1"/>
  <c r="F105" i="1" s="1"/>
  <c r="K105" i="1"/>
  <c r="J157" i="1"/>
  <c r="E105" i="1" l="1"/>
  <c r="H105" i="1"/>
  <c r="G105" i="1" l="1"/>
  <c r="C106" i="1" s="1"/>
  <c r="J158" i="1"/>
  <c r="K106" i="1" l="1"/>
  <c r="D106" i="1"/>
  <c r="F106" i="1" s="1"/>
  <c r="J159" i="1"/>
  <c r="E106" i="1" l="1"/>
  <c r="H106" i="1"/>
  <c r="G106" i="1" l="1"/>
  <c r="C107" i="1" s="1"/>
  <c r="J160" i="1"/>
  <c r="D107" i="1" l="1"/>
  <c r="F107" i="1" s="1"/>
  <c r="K107" i="1"/>
  <c r="E107" i="1" l="1"/>
  <c r="H107" i="1"/>
  <c r="J161" i="1"/>
  <c r="G107" i="1" l="1"/>
  <c r="C108" i="1" s="1"/>
  <c r="J162" i="1"/>
  <c r="K108" i="1" l="1"/>
  <c r="D108" i="1"/>
  <c r="F108" i="1" s="1"/>
  <c r="E108" i="1" l="1"/>
  <c r="H108" i="1"/>
  <c r="J163" i="1"/>
  <c r="G108" i="1" l="1"/>
  <c r="C109" i="1" s="1"/>
  <c r="K109" i="1" l="1"/>
  <c r="D109" i="1"/>
  <c r="F109" i="1" s="1"/>
  <c r="J164" i="1"/>
  <c r="E109" i="1" l="1"/>
  <c r="H109" i="1"/>
  <c r="J165" i="1"/>
  <c r="G109" i="1" l="1"/>
  <c r="C110" i="1" s="1"/>
  <c r="D110" i="1" l="1"/>
  <c r="F110" i="1" s="1"/>
  <c r="K110" i="1"/>
  <c r="J166" i="1"/>
  <c r="E110" i="1" l="1"/>
  <c r="H110" i="1"/>
  <c r="G110" i="1" l="1"/>
  <c r="C111" i="1" s="1"/>
  <c r="J167" i="1"/>
  <c r="D111" i="1" l="1"/>
  <c r="F111" i="1" s="1"/>
  <c r="K111" i="1"/>
  <c r="J168" i="1"/>
  <c r="E111" i="1" l="1"/>
  <c r="H111" i="1"/>
  <c r="G111" i="1"/>
  <c r="C112" i="1" s="1"/>
  <c r="K112" i="1" l="1"/>
  <c r="D112" i="1"/>
  <c r="F112" i="1" s="1"/>
  <c r="J169" i="1"/>
  <c r="E112" i="1" l="1"/>
  <c r="H112" i="1"/>
  <c r="G112" i="1"/>
  <c r="C113" i="1" s="1"/>
  <c r="K113" i="1" l="1"/>
  <c r="D113" i="1"/>
  <c r="F113" i="1" s="1"/>
  <c r="J170" i="1"/>
  <c r="E113" i="1" l="1"/>
  <c r="H113" i="1"/>
  <c r="J171" i="1"/>
  <c r="G113" i="1" l="1"/>
  <c r="C114" i="1" s="1"/>
  <c r="D114" i="1" l="1"/>
  <c r="F114" i="1" s="1"/>
  <c r="K114" i="1"/>
  <c r="J172" i="1"/>
  <c r="E114" i="1" l="1"/>
  <c r="H114" i="1"/>
  <c r="G114" i="1" l="1"/>
  <c r="C115" i="1" s="1"/>
  <c r="J173" i="1"/>
  <c r="K115" i="1" l="1"/>
  <c r="D115" i="1"/>
  <c r="F115" i="1" s="1"/>
  <c r="J174" i="1"/>
  <c r="E115" i="1" l="1"/>
  <c r="H115" i="1"/>
  <c r="G115" i="1" l="1"/>
  <c r="C116" i="1" s="1"/>
  <c r="J175" i="1"/>
  <c r="D116" i="1" l="1"/>
  <c r="F116" i="1" s="1"/>
  <c r="K116" i="1"/>
  <c r="E116" i="1" l="1"/>
  <c r="H116" i="1"/>
  <c r="J176" i="1"/>
  <c r="G116" i="1" l="1"/>
  <c r="C117" i="1" s="1"/>
  <c r="J177" i="1"/>
  <c r="K117" i="1" l="1"/>
  <c r="D117" i="1"/>
  <c r="F117" i="1" s="1"/>
  <c r="E117" i="1" l="1"/>
  <c r="H117" i="1"/>
  <c r="J178" i="1"/>
  <c r="G117" i="1" l="1"/>
  <c r="C118" i="1" s="1"/>
  <c r="D118" i="1" l="1"/>
  <c r="F118" i="1" s="1"/>
  <c r="K118" i="1"/>
  <c r="J179" i="1"/>
  <c r="E118" i="1" l="1"/>
  <c r="H118" i="1"/>
  <c r="G118" i="1"/>
  <c r="C119" i="1" s="1"/>
  <c r="J180" i="1"/>
  <c r="D119" i="1" l="1"/>
  <c r="F119" i="1" s="1"/>
  <c r="K119" i="1"/>
  <c r="E119" i="1" l="1"/>
  <c r="H119" i="1"/>
  <c r="G119" i="1"/>
  <c r="C120" i="1" s="1"/>
  <c r="J181" i="1"/>
  <c r="D120" i="1" l="1"/>
  <c r="F120" i="1" s="1"/>
  <c r="K120" i="1"/>
  <c r="E120" i="1" l="1"/>
  <c r="H120" i="1"/>
  <c r="G120" i="1"/>
  <c r="C121" i="1" s="1"/>
  <c r="J182" i="1"/>
  <c r="K121" i="1" l="1"/>
  <c r="D121" i="1"/>
  <c r="F121" i="1" s="1"/>
  <c r="J183" i="1"/>
  <c r="E121" i="1" l="1"/>
  <c r="H121" i="1"/>
  <c r="G121" i="1"/>
  <c r="C122" i="1" s="1"/>
  <c r="K122" i="1" l="1"/>
  <c r="D122" i="1"/>
  <c r="F122" i="1" s="1"/>
  <c r="J184" i="1"/>
  <c r="E122" i="1" l="1"/>
  <c r="H122" i="1"/>
  <c r="G122" i="1" l="1"/>
  <c r="C123" i="1" s="1"/>
  <c r="J185" i="1"/>
  <c r="K123" i="1" l="1"/>
  <c r="D123" i="1"/>
  <c r="F123" i="1" s="1"/>
  <c r="J186" i="1"/>
  <c r="E123" i="1" l="1"/>
  <c r="H123" i="1"/>
  <c r="G123" i="1"/>
  <c r="C124" i="1" s="1"/>
  <c r="D124" i="1" l="1"/>
  <c r="F124" i="1" s="1"/>
  <c r="K124" i="1"/>
  <c r="J187" i="1"/>
  <c r="E124" i="1" l="1"/>
  <c r="H124" i="1"/>
  <c r="G124" i="1"/>
  <c r="C125" i="1" s="1"/>
  <c r="D125" i="1" l="1"/>
  <c r="F125" i="1" s="1"/>
  <c r="K125" i="1"/>
  <c r="J188" i="1"/>
  <c r="E125" i="1" l="1"/>
  <c r="H125" i="1"/>
  <c r="J189" i="1"/>
  <c r="G125" i="1" l="1"/>
  <c r="C126" i="1" s="1"/>
  <c r="D126" i="1" l="1"/>
  <c r="F126" i="1" s="1"/>
  <c r="K126" i="1"/>
  <c r="J190" i="1"/>
  <c r="E126" i="1" l="1"/>
  <c r="H126" i="1"/>
  <c r="G126" i="1"/>
  <c r="C127" i="1" s="1"/>
  <c r="D127" i="1" l="1"/>
  <c r="F127" i="1" s="1"/>
  <c r="K127" i="1"/>
  <c r="J191" i="1"/>
  <c r="E127" i="1" l="1"/>
  <c r="H127" i="1"/>
  <c r="G127" i="1"/>
  <c r="C128" i="1" s="1"/>
  <c r="J192" i="1"/>
  <c r="K128" i="1" l="1"/>
  <c r="D128" i="1"/>
  <c r="F128" i="1" s="1"/>
  <c r="E128" i="1" l="1"/>
  <c r="H128" i="1"/>
  <c r="G128" i="1"/>
  <c r="C129" i="1" s="1"/>
  <c r="J193" i="1"/>
  <c r="D129" i="1" l="1"/>
  <c r="F129" i="1" s="1"/>
  <c r="K129" i="1"/>
  <c r="E129" i="1" l="1"/>
  <c r="H129" i="1"/>
  <c r="J194" i="1"/>
  <c r="G129" i="1" l="1"/>
  <c r="C130" i="1" s="1"/>
  <c r="J195" i="1"/>
  <c r="D130" i="1" l="1"/>
  <c r="F130" i="1" s="1"/>
  <c r="K130" i="1"/>
  <c r="E130" i="1" l="1"/>
  <c r="H130" i="1"/>
  <c r="G130" i="1"/>
  <c r="C131" i="1" s="1"/>
  <c r="J196" i="1"/>
  <c r="K131" i="1" l="1"/>
  <c r="D131" i="1"/>
  <c r="F131" i="1" s="1"/>
  <c r="E131" i="1" l="1"/>
  <c r="H131" i="1"/>
  <c r="G131" i="1"/>
  <c r="C132" i="1" s="1"/>
  <c r="J197" i="1"/>
  <c r="D132" i="1" l="1"/>
  <c r="F132" i="1" s="1"/>
  <c r="K132" i="1"/>
  <c r="J198" i="1"/>
  <c r="E132" i="1" l="1"/>
  <c r="H132" i="1"/>
  <c r="G132" i="1"/>
  <c r="C133" i="1" s="1"/>
  <c r="D133" i="1" l="1"/>
  <c r="F133" i="1" s="1"/>
  <c r="K133" i="1"/>
  <c r="J199" i="1"/>
  <c r="E133" i="1" l="1"/>
  <c r="H133" i="1"/>
  <c r="G133" i="1"/>
  <c r="C134" i="1" s="1"/>
  <c r="D134" i="1" l="1"/>
  <c r="F134" i="1" s="1"/>
  <c r="K134" i="1"/>
  <c r="J200" i="1"/>
  <c r="E134" i="1" l="1"/>
  <c r="H134" i="1"/>
  <c r="G134" i="1"/>
  <c r="C135" i="1" s="1"/>
  <c r="J201" i="1"/>
  <c r="D135" i="1" l="1"/>
  <c r="F135" i="1" s="1"/>
  <c r="K135" i="1"/>
  <c r="E135" i="1" l="1"/>
  <c r="H135" i="1"/>
  <c r="J202" i="1"/>
  <c r="G135" i="1" l="1"/>
  <c r="C136" i="1" s="1"/>
  <c r="D136" i="1" l="1"/>
  <c r="F136" i="1" s="1"/>
  <c r="K136" i="1"/>
  <c r="J203" i="1"/>
  <c r="E136" i="1" l="1"/>
  <c r="H136" i="1"/>
  <c r="G136" i="1"/>
  <c r="C137" i="1" s="1"/>
  <c r="J204" i="1"/>
  <c r="D137" i="1" l="1"/>
  <c r="F137" i="1" s="1"/>
  <c r="K137" i="1"/>
  <c r="E137" i="1" l="1"/>
  <c r="H137" i="1"/>
  <c r="J205" i="1"/>
  <c r="G137" i="1" l="1"/>
  <c r="C138" i="1" s="1"/>
  <c r="D138" i="1" l="1"/>
  <c r="F138" i="1" s="1"/>
  <c r="K138" i="1"/>
  <c r="J206" i="1"/>
  <c r="E138" i="1" l="1"/>
  <c r="H138" i="1"/>
  <c r="J207" i="1"/>
  <c r="G138" i="1" l="1"/>
  <c r="C139" i="1" s="1"/>
  <c r="K139" i="1" l="1"/>
  <c r="D139" i="1"/>
  <c r="F139" i="1" s="1"/>
  <c r="J208" i="1"/>
  <c r="E139" i="1" l="1"/>
  <c r="H139" i="1"/>
  <c r="G139" i="1" l="1"/>
  <c r="C140" i="1" s="1"/>
  <c r="J209" i="1"/>
  <c r="D140" i="1" l="1"/>
  <c r="F140" i="1" s="1"/>
  <c r="K140" i="1"/>
  <c r="J210" i="1"/>
  <c r="E140" i="1" l="1"/>
  <c r="H140" i="1"/>
  <c r="G140" i="1" l="1"/>
  <c r="C141" i="1" s="1"/>
  <c r="J211" i="1"/>
  <c r="K141" i="1" l="1"/>
  <c r="D141" i="1"/>
  <c r="F141" i="1" s="1"/>
  <c r="E141" i="1" l="1"/>
  <c r="H141" i="1"/>
  <c r="J212" i="1"/>
  <c r="G141" i="1" l="1"/>
  <c r="C142" i="1" s="1"/>
  <c r="K142" i="1" l="1"/>
  <c r="D142" i="1"/>
  <c r="F142" i="1" s="1"/>
  <c r="E142" i="1" l="1"/>
  <c r="H142" i="1"/>
  <c r="J215" i="1"/>
  <c r="G142" i="1" l="1"/>
  <c r="C143" i="1" s="1"/>
  <c r="K143" i="1" l="1"/>
  <c r="D143" i="1"/>
  <c r="F143" i="1" s="1"/>
  <c r="J216" i="1"/>
  <c r="E143" i="1" l="1"/>
  <c r="H143" i="1"/>
  <c r="G143" i="1" l="1"/>
  <c r="C144" i="1" s="1"/>
  <c r="J217" i="1"/>
  <c r="D144" i="1" l="1"/>
  <c r="F144" i="1" s="1"/>
  <c r="K144" i="1"/>
  <c r="J218" i="1"/>
  <c r="E144" i="1" l="1"/>
  <c r="H144" i="1"/>
  <c r="G144" i="1" l="1"/>
  <c r="C145" i="1" s="1"/>
  <c r="J219" i="1"/>
  <c r="D145" i="1" l="1"/>
  <c r="F145" i="1" s="1"/>
  <c r="K145" i="1"/>
  <c r="E145" i="1" l="1"/>
  <c r="H145" i="1"/>
  <c r="G145" i="1"/>
  <c r="C146" i="1" s="1"/>
  <c r="J220" i="1"/>
  <c r="D146" i="1" l="1"/>
  <c r="F146" i="1" s="1"/>
  <c r="K146" i="1"/>
  <c r="J221" i="1"/>
  <c r="E146" i="1" l="1"/>
  <c r="H146" i="1"/>
  <c r="G146" i="1"/>
  <c r="C147" i="1" s="1"/>
  <c r="D147" i="1" l="1"/>
  <c r="F147" i="1" s="1"/>
  <c r="K147" i="1"/>
  <c r="J222" i="1"/>
  <c r="E147" i="1" l="1"/>
  <c r="H147" i="1"/>
  <c r="G147" i="1"/>
  <c r="C148" i="1" s="1"/>
  <c r="K148" i="1" l="1"/>
  <c r="D148" i="1"/>
  <c r="F148" i="1" s="1"/>
  <c r="J223" i="1"/>
  <c r="E148" i="1" l="1"/>
  <c r="H148" i="1"/>
  <c r="G148" i="1"/>
  <c r="C149" i="1" s="1"/>
  <c r="J224" i="1"/>
  <c r="K149" i="1" l="1"/>
  <c r="D149" i="1"/>
  <c r="F149" i="1" s="1"/>
  <c r="E149" i="1" l="1"/>
  <c r="H149" i="1"/>
  <c r="G149" i="1"/>
  <c r="C150" i="1" s="1"/>
  <c r="J225" i="1"/>
  <c r="K150" i="1" l="1"/>
  <c r="D150" i="1"/>
  <c r="F150" i="1" s="1"/>
  <c r="E150" i="1" l="1"/>
  <c r="H150" i="1"/>
  <c r="J226" i="1"/>
  <c r="G150" i="1" l="1"/>
  <c r="C151" i="1" s="1"/>
  <c r="J227" i="1"/>
  <c r="D151" i="1" l="1"/>
  <c r="F151" i="1" s="1"/>
  <c r="K151" i="1"/>
  <c r="E151" i="1" l="1"/>
  <c r="H151" i="1"/>
  <c r="G151" i="1"/>
  <c r="C152" i="1" s="1"/>
  <c r="J228" i="1"/>
  <c r="D152" i="1" l="1"/>
  <c r="F152" i="1" s="1"/>
  <c r="K152" i="1"/>
  <c r="E152" i="1" l="1"/>
  <c r="H152" i="1"/>
  <c r="J229" i="1"/>
  <c r="G152" i="1" l="1"/>
  <c r="C153" i="1" s="1"/>
  <c r="J230" i="1"/>
  <c r="D153" i="1" l="1"/>
  <c r="F153" i="1" s="1"/>
  <c r="K153" i="1"/>
  <c r="E153" i="1" l="1"/>
  <c r="H153" i="1"/>
  <c r="J231" i="1"/>
  <c r="G153" i="1" l="1"/>
  <c r="C154" i="1" s="1"/>
  <c r="D154" i="1" l="1"/>
  <c r="F154" i="1" s="1"/>
  <c r="K154" i="1"/>
  <c r="J232" i="1"/>
  <c r="E154" i="1" l="1"/>
  <c r="H154" i="1"/>
  <c r="J233" i="1"/>
  <c r="G154" i="1" l="1"/>
  <c r="C155" i="1" s="1"/>
  <c r="K155" i="1" l="1"/>
  <c r="D155" i="1"/>
  <c r="F155" i="1" s="1"/>
  <c r="J234" i="1"/>
  <c r="E155" i="1" l="1"/>
  <c r="H155" i="1"/>
  <c r="G155" i="1" l="1"/>
  <c r="C156" i="1" s="1"/>
  <c r="J235" i="1"/>
  <c r="D156" i="1" l="1"/>
  <c r="F156" i="1" s="1"/>
  <c r="K156" i="1"/>
  <c r="J236" i="1"/>
  <c r="E156" i="1" l="1"/>
  <c r="H156" i="1"/>
  <c r="G156" i="1" l="1"/>
  <c r="C157" i="1" s="1"/>
  <c r="J237" i="1"/>
  <c r="D157" i="1" l="1"/>
  <c r="F157" i="1" s="1"/>
  <c r="K157" i="1"/>
  <c r="E157" i="1" l="1"/>
  <c r="H157" i="1"/>
  <c r="J238" i="1"/>
  <c r="G157" i="1" l="1"/>
  <c r="C158" i="1" s="1"/>
  <c r="J239" i="1"/>
  <c r="D158" i="1" l="1"/>
  <c r="F158" i="1" s="1"/>
  <c r="K158" i="1"/>
  <c r="E158" i="1" l="1"/>
  <c r="H158" i="1"/>
  <c r="J240" i="1"/>
  <c r="G158" i="1" l="1"/>
  <c r="C159" i="1" s="1"/>
  <c r="D159" i="1" l="1"/>
  <c r="F159" i="1" s="1"/>
  <c r="K159" i="1"/>
  <c r="J241" i="1"/>
  <c r="E159" i="1" l="1"/>
  <c r="H159" i="1"/>
  <c r="G159" i="1"/>
  <c r="C160" i="1" s="1"/>
  <c r="J242" i="1"/>
  <c r="D160" i="1" l="1"/>
  <c r="F160" i="1" s="1"/>
  <c r="K160" i="1"/>
  <c r="E160" i="1" l="1"/>
  <c r="H160" i="1"/>
  <c r="G160" i="1"/>
  <c r="C161" i="1" s="1"/>
  <c r="J243" i="1"/>
  <c r="D161" i="1" l="1"/>
  <c r="F161" i="1" s="1"/>
  <c r="K161" i="1"/>
  <c r="E161" i="1" l="1"/>
  <c r="H161" i="1"/>
  <c r="G161" i="1"/>
  <c r="C162" i="1" s="1"/>
  <c r="J244" i="1"/>
  <c r="D162" i="1" l="1"/>
  <c r="F162" i="1" s="1"/>
  <c r="K162" i="1"/>
  <c r="J245" i="1"/>
  <c r="E162" i="1" l="1"/>
  <c r="H162" i="1"/>
  <c r="G162" i="1"/>
  <c r="C163" i="1" s="1"/>
  <c r="D163" i="1" l="1"/>
  <c r="F163" i="1" s="1"/>
  <c r="K163" i="1"/>
  <c r="J246" i="1"/>
  <c r="E163" i="1" l="1"/>
  <c r="H163" i="1"/>
  <c r="G163" i="1"/>
  <c r="C164" i="1" s="1"/>
  <c r="D164" i="1" l="1"/>
  <c r="F164" i="1" s="1"/>
  <c r="K164" i="1"/>
  <c r="J247" i="1"/>
  <c r="E164" i="1" l="1"/>
  <c r="H164" i="1"/>
  <c r="J248" i="1"/>
  <c r="G164" i="1" l="1"/>
  <c r="C165" i="1" s="1"/>
  <c r="D165" i="1" l="1"/>
  <c r="F165" i="1" s="1"/>
  <c r="K165" i="1"/>
  <c r="J249" i="1"/>
  <c r="E165" i="1" l="1"/>
  <c r="H165" i="1"/>
  <c r="G165" i="1"/>
  <c r="C166" i="1" s="1"/>
  <c r="D166" i="1" l="1"/>
  <c r="F166" i="1" s="1"/>
  <c r="K166" i="1"/>
  <c r="J250" i="1"/>
  <c r="E166" i="1" l="1"/>
  <c r="H166" i="1"/>
  <c r="G166" i="1"/>
  <c r="C167" i="1" s="1"/>
  <c r="J251" i="1"/>
  <c r="K167" i="1" l="1"/>
  <c r="D167" i="1"/>
  <c r="F167" i="1" s="1"/>
  <c r="E167" i="1" l="1"/>
  <c r="H167" i="1"/>
  <c r="J252" i="1"/>
  <c r="G167" i="1" l="1"/>
  <c r="C168" i="1" s="1"/>
  <c r="D168" i="1" l="1"/>
  <c r="F168" i="1" s="1"/>
  <c r="K168" i="1"/>
  <c r="J253" i="1"/>
  <c r="E168" i="1" l="1"/>
  <c r="H168" i="1"/>
  <c r="J254" i="1"/>
  <c r="G168" i="1" l="1"/>
  <c r="C169" i="1" s="1"/>
  <c r="D169" i="1" l="1"/>
  <c r="F169" i="1" s="1"/>
  <c r="K169" i="1"/>
  <c r="J255" i="1"/>
  <c r="E169" i="1" l="1"/>
  <c r="H169" i="1"/>
  <c r="G169" i="1"/>
  <c r="C170" i="1" s="1"/>
  <c r="K170" i="1" l="1"/>
  <c r="D170" i="1"/>
  <c r="F170" i="1" s="1"/>
  <c r="J256" i="1"/>
  <c r="E170" i="1" l="1"/>
  <c r="H170" i="1"/>
  <c r="J257" i="1"/>
  <c r="G170" i="1" l="1"/>
  <c r="C171" i="1" s="1"/>
  <c r="D171" i="1" l="1"/>
  <c r="F171" i="1" s="1"/>
  <c r="K171" i="1"/>
  <c r="J258" i="1"/>
  <c r="E171" i="1" l="1"/>
  <c r="H171" i="1"/>
  <c r="G171" i="1" l="1"/>
  <c r="C172" i="1" s="1"/>
  <c r="J260" i="1"/>
  <c r="D172" i="1" l="1"/>
  <c r="F172" i="1" s="1"/>
  <c r="K172" i="1"/>
  <c r="J261" i="1"/>
  <c r="E172" i="1" l="1"/>
  <c r="H172" i="1"/>
  <c r="G172" i="1" l="1"/>
  <c r="C173" i="1" s="1"/>
  <c r="J262" i="1"/>
  <c r="D173" i="1" l="1"/>
  <c r="F173" i="1" s="1"/>
  <c r="K173" i="1"/>
  <c r="E173" i="1" l="1"/>
  <c r="H173" i="1"/>
  <c r="J263" i="1"/>
  <c r="G173" i="1" l="1"/>
  <c r="C174" i="1" s="1"/>
  <c r="J264" i="1"/>
  <c r="D174" i="1" l="1"/>
  <c r="F174" i="1" s="1"/>
  <c r="K174" i="1"/>
  <c r="E174" i="1" l="1"/>
  <c r="H174" i="1"/>
  <c r="J265" i="1"/>
  <c r="G174" i="1" l="1"/>
  <c r="C175" i="1" s="1"/>
  <c r="D175" i="1" l="1"/>
  <c r="F175" i="1" s="1"/>
  <c r="K175" i="1"/>
  <c r="J266" i="1"/>
  <c r="E175" i="1" l="1"/>
  <c r="H175" i="1"/>
  <c r="J267" i="1"/>
  <c r="G175" i="1" l="1"/>
  <c r="C176" i="1" s="1"/>
  <c r="D176" i="1" l="1"/>
  <c r="F176" i="1" s="1"/>
  <c r="K176" i="1"/>
  <c r="J268" i="1"/>
  <c r="E176" i="1" l="1"/>
  <c r="H176" i="1"/>
  <c r="G176" i="1"/>
  <c r="C177" i="1" s="1"/>
  <c r="K177" i="1" l="1"/>
  <c r="D177" i="1"/>
  <c r="F177" i="1" s="1"/>
  <c r="J269" i="1"/>
  <c r="E177" i="1" l="1"/>
  <c r="H177" i="1"/>
  <c r="G177" i="1"/>
  <c r="C178" i="1" s="1"/>
  <c r="J270" i="1"/>
  <c r="D178" i="1" l="1"/>
  <c r="F178" i="1" s="1"/>
  <c r="K178" i="1"/>
  <c r="E178" i="1" l="1"/>
  <c r="H178" i="1"/>
  <c r="J271" i="1"/>
  <c r="G178" i="1" l="1"/>
  <c r="C179" i="1" s="1"/>
  <c r="D179" i="1" l="1"/>
  <c r="F179" i="1" s="1"/>
  <c r="K179" i="1"/>
  <c r="J272" i="1"/>
  <c r="E179" i="1" l="1"/>
  <c r="H179" i="1"/>
  <c r="J273" i="1"/>
  <c r="G179" i="1" l="1"/>
  <c r="C180" i="1" s="1"/>
  <c r="D180" i="1" l="1"/>
  <c r="F180" i="1" s="1"/>
  <c r="K180" i="1"/>
  <c r="J274" i="1"/>
  <c r="E180" i="1" l="1"/>
  <c r="H180" i="1"/>
  <c r="G180" i="1" l="1"/>
  <c r="C181" i="1" s="1"/>
  <c r="J275" i="1"/>
  <c r="D181" i="1" l="1"/>
  <c r="F181" i="1" s="1"/>
  <c r="K181" i="1"/>
  <c r="E181" i="1" l="1"/>
  <c r="H181" i="1"/>
  <c r="J277" i="1"/>
  <c r="G181" i="1" l="1"/>
  <c r="C182" i="1" s="1"/>
  <c r="J278" i="1"/>
  <c r="D182" i="1" l="1"/>
  <c r="F182" i="1" s="1"/>
  <c r="K182" i="1"/>
  <c r="E182" i="1" l="1"/>
  <c r="H182" i="1"/>
  <c r="J279" i="1"/>
  <c r="G182" i="1" l="1"/>
  <c r="C183" i="1" s="1"/>
  <c r="J280" i="1"/>
  <c r="D183" i="1" l="1"/>
  <c r="F183" i="1" s="1"/>
  <c r="K183" i="1"/>
  <c r="E183" i="1" l="1"/>
  <c r="H183" i="1"/>
  <c r="G183" i="1"/>
  <c r="C184" i="1" s="1"/>
  <c r="J281" i="1"/>
  <c r="D184" i="1" l="1"/>
  <c r="F184" i="1" s="1"/>
  <c r="K184" i="1"/>
  <c r="E184" i="1" l="1"/>
  <c r="H184" i="1"/>
  <c r="J282" i="1"/>
  <c r="G184" i="1" l="1"/>
  <c r="C185" i="1" s="1"/>
  <c r="J283" i="1"/>
  <c r="D185" i="1" l="1"/>
  <c r="F185" i="1" s="1"/>
  <c r="K185" i="1"/>
  <c r="E185" i="1" l="1"/>
  <c r="H185" i="1"/>
  <c r="J284" i="1"/>
  <c r="G185" i="1" l="1"/>
  <c r="C186" i="1" s="1"/>
  <c r="D186" i="1" l="1"/>
  <c r="F186" i="1" s="1"/>
  <c r="K186" i="1"/>
  <c r="J285" i="1"/>
  <c r="E186" i="1" l="1"/>
  <c r="H186" i="1"/>
  <c r="J286" i="1"/>
  <c r="G186" i="1" l="1"/>
  <c r="C187" i="1" s="1"/>
  <c r="D187" i="1" l="1"/>
  <c r="F187" i="1" s="1"/>
  <c r="K187" i="1"/>
  <c r="J287" i="1"/>
  <c r="E187" i="1" l="1"/>
  <c r="H187" i="1"/>
  <c r="J288" i="1"/>
  <c r="G187" i="1" l="1"/>
  <c r="C188" i="1" s="1"/>
  <c r="D188" i="1" l="1"/>
  <c r="F188" i="1" s="1"/>
  <c r="K188" i="1"/>
  <c r="J289" i="1"/>
  <c r="E188" i="1" l="1"/>
  <c r="H188" i="1"/>
  <c r="G188" i="1"/>
  <c r="C189" i="1" s="1"/>
  <c r="D189" i="1" l="1"/>
  <c r="F189" i="1" s="1"/>
  <c r="K189" i="1"/>
  <c r="J290" i="1"/>
  <c r="E189" i="1" l="1"/>
  <c r="H189" i="1"/>
  <c r="J291" i="1"/>
  <c r="G189" i="1" l="1"/>
  <c r="C190" i="1" s="1"/>
  <c r="D190" i="1" l="1"/>
  <c r="F190" i="1" s="1"/>
  <c r="K190" i="1"/>
  <c r="J292" i="1"/>
  <c r="E190" i="1" l="1"/>
  <c r="H190" i="1"/>
  <c r="G190" i="1" l="1"/>
  <c r="C191" i="1" s="1"/>
  <c r="J293" i="1"/>
  <c r="K191" i="1" l="1"/>
  <c r="D191" i="1"/>
  <c r="F191" i="1" s="1"/>
  <c r="J294" i="1"/>
  <c r="E191" i="1" l="1"/>
  <c r="H191" i="1"/>
  <c r="G191" i="1" l="1"/>
  <c r="C192" i="1" s="1"/>
  <c r="J295" i="1"/>
  <c r="D192" i="1" l="1"/>
  <c r="F192" i="1" s="1"/>
  <c r="K192" i="1"/>
  <c r="E192" i="1" l="1"/>
  <c r="H192" i="1"/>
  <c r="J296" i="1"/>
  <c r="G192" i="1" l="1"/>
  <c r="C193" i="1" s="1"/>
  <c r="J297" i="1"/>
  <c r="D193" i="1" l="1"/>
  <c r="F193" i="1" s="1"/>
  <c r="K193" i="1"/>
  <c r="E193" i="1" l="1"/>
  <c r="H193" i="1"/>
  <c r="J298" i="1"/>
  <c r="G193" i="1" l="1"/>
  <c r="C194" i="1" s="1"/>
  <c r="K194" i="1" l="1"/>
  <c r="D194" i="1"/>
  <c r="F194" i="1" s="1"/>
  <c r="J299" i="1"/>
  <c r="E194" i="1" l="1"/>
  <c r="H194" i="1"/>
  <c r="J300" i="1"/>
  <c r="G194" i="1" l="1"/>
  <c r="C195" i="1" s="1"/>
  <c r="D195" i="1" l="1"/>
  <c r="F195" i="1" s="1"/>
  <c r="K195" i="1"/>
  <c r="J301" i="1"/>
  <c r="E195" i="1" l="1"/>
  <c r="H195" i="1"/>
  <c r="G195" i="1" l="1"/>
  <c r="C196" i="1" s="1"/>
  <c r="J302" i="1"/>
  <c r="K196" i="1" l="1"/>
  <c r="D196" i="1"/>
  <c r="F196" i="1" s="1"/>
  <c r="J303" i="1"/>
  <c r="E196" i="1" l="1"/>
  <c r="H196" i="1"/>
  <c r="G196" i="1"/>
  <c r="C197" i="1" s="1"/>
  <c r="D197" i="1" l="1"/>
  <c r="F197" i="1" s="1"/>
  <c r="K197" i="1"/>
  <c r="J304" i="1"/>
  <c r="E197" i="1" l="1"/>
  <c r="H197" i="1"/>
  <c r="G197" i="1"/>
  <c r="C198" i="1" s="1"/>
  <c r="D198" i="1" l="1"/>
  <c r="F198" i="1" s="1"/>
  <c r="K198" i="1"/>
  <c r="J305" i="1"/>
  <c r="E198" i="1" l="1"/>
  <c r="H198" i="1"/>
  <c r="G198" i="1"/>
  <c r="C199" i="1" s="1"/>
  <c r="J306" i="1"/>
  <c r="D199" i="1" l="1"/>
  <c r="F199" i="1" s="1"/>
  <c r="K199" i="1"/>
  <c r="E199" i="1" l="1"/>
  <c r="H199" i="1"/>
  <c r="J307" i="1"/>
  <c r="G199" i="1" l="1"/>
  <c r="C200" i="1" s="1"/>
  <c r="K200" i="1" l="1"/>
  <c r="D200" i="1"/>
  <c r="F200" i="1" s="1"/>
  <c r="J308" i="1"/>
  <c r="E200" i="1" l="1"/>
  <c r="H200" i="1"/>
  <c r="J309" i="1"/>
  <c r="G200" i="1" l="1"/>
  <c r="C201" i="1" s="1"/>
  <c r="D201" i="1" l="1"/>
  <c r="F201" i="1" s="1"/>
  <c r="K201" i="1"/>
  <c r="J310" i="1"/>
  <c r="E201" i="1" l="1"/>
  <c r="H201" i="1"/>
  <c r="G201" i="1"/>
  <c r="C202" i="1" s="1"/>
  <c r="K202" i="1" l="1"/>
  <c r="D202" i="1"/>
  <c r="F202" i="1" s="1"/>
  <c r="J311" i="1"/>
  <c r="E202" i="1" l="1"/>
  <c r="H202" i="1"/>
  <c r="J312" i="1"/>
  <c r="G202" i="1" l="1"/>
  <c r="C203" i="1" s="1"/>
  <c r="D203" i="1" l="1"/>
  <c r="F203" i="1" s="1"/>
  <c r="K203" i="1"/>
  <c r="J313" i="1"/>
  <c r="E203" i="1" l="1"/>
  <c r="H203" i="1"/>
  <c r="G203" i="1" l="1"/>
  <c r="C204" i="1" s="1"/>
  <c r="J314" i="1"/>
  <c r="D204" i="1" l="1"/>
  <c r="F204" i="1" s="1"/>
  <c r="K204" i="1"/>
  <c r="J315" i="1"/>
  <c r="E204" i="1" l="1"/>
  <c r="H204" i="1"/>
  <c r="G204" i="1" l="1"/>
  <c r="C205" i="1" s="1"/>
  <c r="J316" i="1"/>
  <c r="K205" i="1" l="1"/>
  <c r="D205" i="1"/>
  <c r="F205" i="1" s="1"/>
  <c r="E205" i="1" l="1"/>
  <c r="H205" i="1"/>
  <c r="G205" i="1"/>
  <c r="C206" i="1" s="1"/>
  <c r="J317" i="1"/>
  <c r="K206" i="1" l="1"/>
  <c r="D206" i="1"/>
  <c r="F206" i="1" s="1"/>
  <c r="J213" i="1"/>
  <c r="E206" i="1" l="1"/>
  <c r="H206" i="1"/>
  <c r="J318" i="1"/>
  <c r="G206" i="1" l="1"/>
  <c r="C207" i="1" s="1"/>
  <c r="D207" i="1" l="1"/>
  <c r="F207" i="1" s="1"/>
  <c r="K207" i="1"/>
  <c r="J214" i="1"/>
  <c r="J319" i="1"/>
  <c r="E207" i="1" l="1"/>
  <c r="H207" i="1"/>
  <c r="G207" i="1" l="1"/>
  <c r="C208" i="1" s="1"/>
  <c r="J320" i="1"/>
  <c r="K208" i="1" l="1"/>
  <c r="D208" i="1"/>
  <c r="F208" i="1" s="1"/>
  <c r="J321" i="1"/>
  <c r="E208" i="1" l="1"/>
  <c r="H208" i="1"/>
  <c r="G208" i="1" l="1"/>
  <c r="C209" i="1" s="1"/>
  <c r="J322" i="1"/>
  <c r="D209" i="1" l="1"/>
  <c r="F209" i="1" s="1"/>
  <c r="K209" i="1"/>
  <c r="E209" i="1" l="1"/>
  <c r="H209" i="1"/>
  <c r="J323" i="1"/>
  <c r="G209" i="1" l="1"/>
  <c r="C210" i="1" s="1"/>
  <c r="J324" i="1"/>
  <c r="D210" i="1" l="1"/>
  <c r="F210" i="1" s="1"/>
  <c r="K210" i="1"/>
  <c r="E210" i="1" l="1"/>
  <c r="H210" i="1"/>
  <c r="G210" i="1"/>
  <c r="C211" i="1" s="1"/>
  <c r="J325" i="1"/>
  <c r="D211" i="1" l="1"/>
  <c r="F211" i="1" s="1"/>
  <c r="K211" i="1"/>
  <c r="E211" i="1" l="1"/>
  <c r="H211" i="1"/>
  <c r="J326" i="1"/>
  <c r="G211" i="1" l="1"/>
  <c r="C212" i="1" s="1"/>
  <c r="J327" i="1"/>
  <c r="K212" i="1" l="1"/>
  <c r="D212" i="1"/>
  <c r="F212" i="1" s="1"/>
  <c r="E212" i="1" l="1"/>
  <c r="H212" i="1"/>
  <c r="J328" i="1"/>
  <c r="G212" i="1" l="1"/>
  <c r="C213" i="1" s="1"/>
  <c r="D213" i="1" l="1"/>
  <c r="F213" i="1" s="1"/>
  <c r="K213" i="1"/>
  <c r="J329" i="1"/>
  <c r="E213" i="1" l="1"/>
  <c r="H213" i="1"/>
  <c r="G213" i="1"/>
  <c r="C214" i="1" s="1"/>
  <c r="J330" i="1"/>
  <c r="D214" i="1" l="1"/>
  <c r="F214" i="1" s="1"/>
  <c r="K214" i="1"/>
  <c r="E214" i="1" l="1"/>
  <c r="H214" i="1"/>
  <c r="G214" i="1"/>
  <c r="C215" i="1" s="1"/>
  <c r="J331" i="1"/>
  <c r="D215" i="1" l="1"/>
  <c r="F215" i="1" s="1"/>
  <c r="K215" i="1"/>
  <c r="J332" i="1"/>
  <c r="E215" i="1" l="1"/>
  <c r="H215" i="1"/>
  <c r="G215" i="1" l="1"/>
  <c r="C216" i="1" s="1"/>
  <c r="J333" i="1"/>
  <c r="K216" i="1" l="1"/>
  <c r="D216" i="1"/>
  <c r="F216" i="1" s="1"/>
  <c r="E216" i="1" l="1"/>
  <c r="H216" i="1"/>
  <c r="G216" i="1"/>
  <c r="C217" i="1" s="1"/>
  <c r="J334" i="1"/>
  <c r="D217" i="1" l="1"/>
  <c r="F217" i="1" s="1"/>
  <c r="K217" i="1"/>
  <c r="J335" i="1"/>
  <c r="E217" i="1" l="1"/>
  <c r="H217" i="1"/>
  <c r="G217" i="1"/>
  <c r="C218" i="1" s="1"/>
  <c r="D218" i="1" l="1"/>
  <c r="F218" i="1" s="1"/>
  <c r="K218" i="1"/>
  <c r="J336" i="1"/>
  <c r="E218" i="1" l="1"/>
  <c r="H218" i="1"/>
  <c r="G218" i="1"/>
  <c r="C219" i="1" s="1"/>
  <c r="D219" i="1" l="1"/>
  <c r="F219" i="1" s="1"/>
  <c r="K219" i="1"/>
  <c r="J337" i="1"/>
  <c r="E219" i="1" l="1"/>
  <c r="H219" i="1"/>
  <c r="J338" i="1"/>
  <c r="G219" i="1" l="1"/>
  <c r="C220" i="1" s="1"/>
  <c r="D220" i="1" l="1"/>
  <c r="F220" i="1" s="1"/>
  <c r="K220" i="1"/>
  <c r="J339" i="1"/>
  <c r="E220" i="1" l="1"/>
  <c r="H220" i="1"/>
  <c r="G220" i="1" l="1"/>
  <c r="C221" i="1" s="1"/>
  <c r="J340" i="1"/>
  <c r="D221" i="1" l="1"/>
  <c r="F221" i="1" s="1"/>
  <c r="K221" i="1"/>
  <c r="J341" i="1"/>
  <c r="E221" i="1" l="1"/>
  <c r="H221" i="1"/>
  <c r="G221" i="1"/>
  <c r="C222" i="1" s="1"/>
  <c r="K222" i="1" l="1"/>
  <c r="D222" i="1"/>
  <c r="F222" i="1" s="1"/>
  <c r="J342" i="1"/>
  <c r="E222" i="1" l="1"/>
  <c r="H222" i="1"/>
  <c r="G222" i="1"/>
  <c r="C223" i="1" s="1"/>
  <c r="D223" i="1" l="1"/>
  <c r="F223" i="1" s="1"/>
  <c r="K223" i="1"/>
  <c r="J343" i="1"/>
  <c r="E223" i="1" l="1"/>
  <c r="H223" i="1"/>
  <c r="G223" i="1"/>
  <c r="C224" i="1" s="1"/>
  <c r="J344" i="1"/>
  <c r="D224" i="1" l="1"/>
  <c r="F224" i="1" s="1"/>
  <c r="K224" i="1"/>
  <c r="E224" i="1" l="1"/>
  <c r="H224" i="1"/>
  <c r="J345" i="1"/>
  <c r="G224" i="1" l="1"/>
  <c r="C225" i="1" s="1"/>
  <c r="D225" i="1" l="1"/>
  <c r="F225" i="1" s="1"/>
  <c r="K225" i="1"/>
  <c r="J346" i="1"/>
  <c r="E225" i="1" l="1"/>
  <c r="H225" i="1"/>
  <c r="J347" i="1"/>
  <c r="G225" i="1" l="1"/>
  <c r="C226" i="1" s="1"/>
  <c r="D226" i="1" l="1"/>
  <c r="F226" i="1" s="1"/>
  <c r="K226" i="1"/>
  <c r="J348" i="1"/>
  <c r="E226" i="1" l="1"/>
  <c r="H226" i="1"/>
  <c r="G226" i="1"/>
  <c r="C227" i="1" s="1"/>
  <c r="D227" i="1" l="1"/>
  <c r="F227" i="1" s="1"/>
  <c r="K227" i="1"/>
  <c r="J349" i="1"/>
  <c r="E227" i="1" l="1"/>
  <c r="H227" i="1"/>
  <c r="J350" i="1"/>
  <c r="G227" i="1" l="1"/>
  <c r="C228" i="1" s="1"/>
  <c r="D228" i="1" l="1"/>
  <c r="F228" i="1" s="1"/>
  <c r="K228" i="1"/>
  <c r="J351" i="1"/>
  <c r="E228" i="1" l="1"/>
  <c r="H228" i="1"/>
  <c r="G228" i="1"/>
  <c r="C229" i="1" s="1"/>
  <c r="J352" i="1"/>
  <c r="D229" i="1" l="1"/>
  <c r="F229" i="1" s="1"/>
  <c r="K229" i="1"/>
  <c r="E229" i="1" l="1"/>
  <c r="H229" i="1"/>
  <c r="G229" i="1"/>
  <c r="C230" i="1" s="1"/>
  <c r="J353" i="1"/>
  <c r="D230" i="1" l="1"/>
  <c r="F230" i="1" s="1"/>
  <c r="K230" i="1"/>
  <c r="E230" i="1" l="1"/>
  <c r="H230" i="1"/>
  <c r="J354" i="1"/>
  <c r="G230" i="1" l="1"/>
  <c r="C231" i="1" s="1"/>
  <c r="J355" i="1"/>
  <c r="D231" i="1" l="1"/>
  <c r="F231" i="1" s="1"/>
  <c r="K231" i="1"/>
  <c r="E231" i="1" l="1"/>
  <c r="H231" i="1"/>
  <c r="J356" i="1"/>
  <c r="G231" i="1" l="1"/>
  <c r="C232" i="1" s="1"/>
  <c r="D232" i="1" l="1"/>
  <c r="F232" i="1" s="1"/>
  <c r="K232" i="1"/>
  <c r="J357" i="1"/>
  <c r="E232" i="1" l="1"/>
  <c r="H232" i="1"/>
  <c r="J358" i="1"/>
  <c r="G232" i="1" l="1"/>
  <c r="C233" i="1" s="1"/>
  <c r="K233" i="1" l="1"/>
  <c r="D233" i="1"/>
  <c r="F233" i="1" s="1"/>
  <c r="J359" i="1"/>
  <c r="E233" i="1" l="1"/>
  <c r="H233" i="1"/>
  <c r="G233" i="1"/>
  <c r="C234" i="1" s="1"/>
  <c r="K234" i="1" l="1"/>
  <c r="D234" i="1"/>
  <c r="F234" i="1" s="1"/>
  <c r="J360" i="1"/>
  <c r="E234" i="1" l="1"/>
  <c r="H234" i="1"/>
  <c r="J361" i="1"/>
  <c r="G234" i="1" l="1"/>
  <c r="C235" i="1" s="1"/>
  <c r="D235" i="1" l="1"/>
  <c r="F235" i="1" s="1"/>
  <c r="K235" i="1"/>
  <c r="J362" i="1"/>
  <c r="E235" i="1" l="1"/>
  <c r="H235" i="1"/>
  <c r="G235" i="1" l="1"/>
  <c r="C236" i="1" s="1"/>
  <c r="J363" i="1"/>
  <c r="D236" i="1" l="1"/>
  <c r="F236" i="1" s="1"/>
  <c r="K236" i="1"/>
  <c r="J364" i="1"/>
  <c r="E236" i="1" l="1"/>
  <c r="H236" i="1"/>
  <c r="G236" i="1" l="1"/>
  <c r="C237" i="1" s="1"/>
  <c r="J365" i="1"/>
  <c r="D237" i="1" l="1"/>
  <c r="F237" i="1" s="1"/>
  <c r="K237" i="1"/>
  <c r="E237" i="1" l="1"/>
  <c r="H237" i="1"/>
  <c r="G237" i="1"/>
  <c r="C238" i="1" s="1"/>
  <c r="J366" i="1"/>
  <c r="D238" i="1" l="1"/>
  <c r="F238" i="1" s="1"/>
  <c r="K238" i="1"/>
  <c r="J367" i="1"/>
  <c r="E238" i="1" l="1"/>
  <c r="H238" i="1"/>
  <c r="G238" i="1" l="1"/>
  <c r="C239" i="1" s="1"/>
  <c r="J368" i="1"/>
  <c r="D239" i="1" l="1"/>
  <c r="F239" i="1" s="1"/>
  <c r="K239" i="1"/>
  <c r="E239" i="1" l="1"/>
  <c r="H239" i="1"/>
  <c r="G239" i="1"/>
  <c r="C240" i="1" s="1"/>
  <c r="J369" i="1"/>
  <c r="K240" i="1" l="1"/>
  <c r="D240" i="1"/>
  <c r="F240" i="1" s="1"/>
  <c r="J370" i="1"/>
  <c r="E240" i="1" l="1"/>
  <c r="H240" i="1"/>
  <c r="G240" i="1" l="1"/>
  <c r="C241" i="1" s="1"/>
  <c r="J371" i="1"/>
  <c r="D241" i="1" l="1"/>
  <c r="F241" i="1" s="1"/>
  <c r="K241" i="1"/>
  <c r="E241" i="1" l="1"/>
  <c r="H241" i="1"/>
  <c r="J372" i="1"/>
  <c r="G241" i="1" l="1"/>
  <c r="C242" i="1" s="1"/>
  <c r="J373" i="1"/>
  <c r="D242" i="1" l="1"/>
  <c r="F242" i="1" s="1"/>
  <c r="K242" i="1"/>
  <c r="E242" i="1" l="1"/>
  <c r="H242" i="1"/>
  <c r="J374" i="1"/>
  <c r="G242" i="1" l="1"/>
  <c r="C243" i="1" s="1"/>
  <c r="K243" i="1" l="1"/>
  <c r="D243" i="1"/>
  <c r="F243" i="1" s="1"/>
  <c r="J375" i="1"/>
  <c r="E243" i="1" l="1"/>
  <c r="H243" i="1"/>
  <c r="J376" i="1"/>
  <c r="G243" i="1" l="1"/>
  <c r="C244" i="1" s="1"/>
  <c r="K244" i="1" l="1"/>
  <c r="D244" i="1"/>
  <c r="F244" i="1" s="1"/>
  <c r="J377" i="1"/>
  <c r="E244" i="1" l="1"/>
  <c r="H244" i="1"/>
  <c r="G244" i="1" l="1"/>
  <c r="C245" i="1" s="1"/>
  <c r="J378" i="1"/>
  <c r="D245" i="1" l="1"/>
  <c r="F245" i="1" s="1"/>
  <c r="K245" i="1"/>
  <c r="J379" i="1"/>
  <c r="E245" i="1" l="1"/>
  <c r="H245" i="1"/>
  <c r="G245" i="1" l="1"/>
  <c r="C246" i="1" s="1"/>
  <c r="J380" i="1"/>
  <c r="K246" i="1" l="1"/>
  <c r="D246" i="1"/>
  <c r="F246" i="1" s="1"/>
  <c r="E246" i="1" l="1"/>
  <c r="H246" i="1"/>
  <c r="J381" i="1"/>
  <c r="G246" i="1" l="1"/>
  <c r="C247" i="1" s="1"/>
  <c r="J382" i="1"/>
  <c r="D247" i="1" l="1"/>
  <c r="F247" i="1" s="1"/>
  <c r="K247" i="1"/>
  <c r="E247" i="1" l="1"/>
  <c r="H247" i="1"/>
  <c r="J383" i="1"/>
  <c r="G247" i="1" l="1"/>
  <c r="C248" i="1" s="1"/>
  <c r="K248" i="1" l="1"/>
  <c r="D248" i="1"/>
  <c r="F248" i="1" s="1"/>
  <c r="J384" i="1"/>
  <c r="E248" i="1" l="1"/>
  <c r="H248" i="1"/>
  <c r="J385" i="1"/>
  <c r="G248" i="1" l="1"/>
  <c r="C249" i="1" s="1"/>
  <c r="K249" i="1" l="1"/>
  <c r="D249" i="1"/>
  <c r="F249" i="1" s="1"/>
  <c r="J386" i="1"/>
  <c r="E249" i="1" l="1"/>
  <c r="H249" i="1"/>
  <c r="G249" i="1" l="1"/>
  <c r="C250" i="1" s="1"/>
  <c r="J387" i="1"/>
  <c r="D250" i="1" l="1"/>
  <c r="F250" i="1" s="1"/>
  <c r="K250" i="1"/>
  <c r="J259" i="1"/>
  <c r="E250" i="1" l="1"/>
  <c r="H250" i="1"/>
  <c r="J388" i="1"/>
  <c r="G250" i="1" l="1"/>
  <c r="C251" i="1" s="1"/>
  <c r="D251" i="1" l="1"/>
  <c r="F251" i="1" s="1"/>
  <c r="K251" i="1"/>
  <c r="J389" i="1"/>
  <c r="E251" i="1" l="1"/>
  <c r="H251" i="1"/>
  <c r="G251" i="1"/>
  <c r="C252" i="1" s="1"/>
  <c r="D252" i="1" l="1"/>
  <c r="F252" i="1" s="1"/>
  <c r="K252" i="1"/>
  <c r="J390" i="1"/>
  <c r="E252" i="1" l="1"/>
  <c r="H252" i="1"/>
  <c r="J391" i="1"/>
  <c r="G252" i="1" l="1"/>
  <c r="C253" i="1" s="1"/>
  <c r="D253" i="1" l="1"/>
  <c r="F253" i="1" s="1"/>
  <c r="K253" i="1"/>
  <c r="J392" i="1"/>
  <c r="E253" i="1" l="1"/>
  <c r="H253" i="1"/>
  <c r="G253" i="1" l="1"/>
  <c r="C254" i="1" s="1"/>
  <c r="J393" i="1"/>
  <c r="D254" i="1" l="1"/>
  <c r="F254" i="1" s="1"/>
  <c r="K254" i="1"/>
  <c r="J394" i="1"/>
  <c r="E254" i="1" l="1"/>
  <c r="H254" i="1"/>
  <c r="G254" i="1" l="1"/>
  <c r="C255" i="1" s="1"/>
  <c r="J395" i="1"/>
  <c r="D255" i="1" l="1"/>
  <c r="F255" i="1" s="1"/>
  <c r="K255" i="1"/>
  <c r="E255" i="1" l="1"/>
  <c r="H255" i="1"/>
  <c r="J396" i="1"/>
  <c r="G255" i="1" l="1"/>
  <c r="C256" i="1" s="1"/>
  <c r="J397" i="1"/>
  <c r="D256" i="1" l="1"/>
  <c r="F256" i="1" s="1"/>
  <c r="K256" i="1"/>
  <c r="E256" i="1" l="1"/>
  <c r="H256" i="1"/>
  <c r="J398" i="1"/>
  <c r="G256" i="1" l="1"/>
  <c r="C257" i="1" s="1"/>
  <c r="K257" i="1" l="1"/>
  <c r="D257" i="1"/>
  <c r="F257" i="1" s="1"/>
  <c r="J399" i="1"/>
  <c r="E257" i="1" l="1"/>
  <c r="H257" i="1"/>
  <c r="G257" i="1"/>
  <c r="C258" i="1" s="1"/>
  <c r="J400" i="1"/>
  <c r="K258" i="1" l="1"/>
  <c r="D258" i="1"/>
  <c r="F258" i="1" s="1"/>
  <c r="E258" i="1" l="1"/>
  <c r="H258" i="1"/>
  <c r="G258" i="1"/>
  <c r="C259" i="1" s="1"/>
  <c r="J401" i="1"/>
  <c r="D259" i="1" l="1"/>
  <c r="F259" i="1" s="1"/>
  <c r="K259" i="1"/>
  <c r="E259" i="1" l="1"/>
  <c r="H259" i="1"/>
  <c r="G259" i="1"/>
  <c r="C260" i="1" s="1"/>
  <c r="J402" i="1"/>
  <c r="D260" i="1" l="1"/>
  <c r="F260" i="1" s="1"/>
  <c r="K260" i="1"/>
  <c r="J403" i="1"/>
  <c r="E260" i="1" l="1"/>
  <c r="H260" i="1"/>
  <c r="G260" i="1" l="1"/>
  <c r="C261" i="1" s="1"/>
  <c r="J404" i="1"/>
  <c r="K261" i="1" l="1"/>
  <c r="D261" i="1"/>
  <c r="F261" i="1" s="1"/>
  <c r="E261" i="1" l="1"/>
  <c r="H261" i="1"/>
  <c r="J405" i="1"/>
  <c r="G261" i="1" l="1"/>
  <c r="C262" i="1" s="1"/>
  <c r="J406" i="1"/>
  <c r="D262" i="1" l="1"/>
  <c r="F262" i="1" s="1"/>
  <c r="K262" i="1"/>
  <c r="E262" i="1" l="1"/>
  <c r="H262" i="1"/>
  <c r="G262" i="1"/>
  <c r="C263" i="1" s="1"/>
  <c r="J407" i="1"/>
  <c r="D263" i="1" l="1"/>
  <c r="F263" i="1" s="1"/>
  <c r="K263" i="1"/>
  <c r="E263" i="1" l="1"/>
  <c r="H263" i="1"/>
  <c r="J408" i="1"/>
  <c r="G263" i="1" l="1"/>
  <c r="C264" i="1" s="1"/>
  <c r="J409" i="1"/>
  <c r="D264" i="1" l="1"/>
  <c r="F264" i="1" s="1"/>
  <c r="K264" i="1"/>
  <c r="E264" i="1" l="1"/>
  <c r="H264" i="1"/>
  <c r="J410" i="1"/>
  <c r="G264" i="1" l="1"/>
  <c r="C265" i="1" s="1"/>
  <c r="D265" i="1" l="1"/>
  <c r="F265" i="1" s="1"/>
  <c r="K265" i="1"/>
  <c r="J411" i="1"/>
  <c r="E265" i="1" l="1"/>
  <c r="H265" i="1"/>
  <c r="J412" i="1"/>
  <c r="G265" i="1" l="1"/>
  <c r="C266" i="1" s="1"/>
  <c r="D266" i="1" l="1"/>
  <c r="F266" i="1" s="1"/>
  <c r="K266" i="1"/>
  <c r="J276" i="1"/>
  <c r="J413" i="1"/>
  <c r="E266" i="1" l="1"/>
  <c r="H266" i="1"/>
  <c r="G266" i="1" l="1"/>
  <c r="C267" i="1" s="1"/>
  <c r="J414" i="1"/>
  <c r="D267" i="1" l="1"/>
  <c r="F267" i="1" s="1"/>
  <c r="K267" i="1"/>
  <c r="J415" i="1"/>
  <c r="E267" i="1" l="1"/>
  <c r="H267" i="1"/>
  <c r="J416" i="1"/>
  <c r="G267" i="1" l="1"/>
  <c r="C268" i="1" s="1"/>
  <c r="J417" i="1"/>
  <c r="D268" i="1" l="1"/>
  <c r="F268" i="1" s="1"/>
  <c r="K268" i="1"/>
  <c r="E268" i="1" l="1"/>
  <c r="H268" i="1"/>
  <c r="J418" i="1"/>
  <c r="G268" i="1" l="1"/>
  <c r="C269" i="1" s="1"/>
  <c r="K269" i="1" l="1"/>
  <c r="D269" i="1"/>
  <c r="F269" i="1" s="1"/>
  <c r="J419" i="1"/>
  <c r="E269" i="1" l="1"/>
  <c r="H269" i="1"/>
  <c r="J420" i="1"/>
  <c r="G269" i="1" l="1"/>
  <c r="C270" i="1" s="1"/>
  <c r="D270" i="1" l="1"/>
  <c r="F270" i="1" s="1"/>
  <c r="K270" i="1"/>
  <c r="J421" i="1"/>
  <c r="E270" i="1" l="1"/>
  <c r="H270" i="1"/>
  <c r="G270" i="1" l="1"/>
  <c r="C271" i="1" s="1"/>
  <c r="J422" i="1"/>
  <c r="D271" i="1" l="1"/>
  <c r="F271" i="1" s="1"/>
  <c r="K271" i="1"/>
  <c r="J423" i="1"/>
  <c r="E271" i="1" l="1"/>
  <c r="H271" i="1"/>
  <c r="G271" i="1" l="1"/>
  <c r="C272" i="1" s="1"/>
  <c r="J424" i="1"/>
  <c r="D272" i="1" l="1"/>
  <c r="F272" i="1" s="1"/>
  <c r="K272" i="1"/>
  <c r="E272" i="1" l="1"/>
  <c r="H272" i="1"/>
  <c r="J425" i="1"/>
  <c r="G272" i="1" l="1"/>
  <c r="C273" i="1" s="1"/>
  <c r="J426" i="1"/>
  <c r="D273" i="1" l="1"/>
  <c r="F273" i="1" s="1"/>
  <c r="K273" i="1"/>
  <c r="E273" i="1" l="1"/>
  <c r="H273" i="1"/>
  <c r="J427" i="1"/>
  <c r="G273" i="1" l="1"/>
  <c r="C274" i="1" s="1"/>
  <c r="K274" i="1" l="1"/>
  <c r="D274" i="1"/>
  <c r="F274" i="1" s="1"/>
  <c r="J428" i="1"/>
  <c r="E274" i="1" l="1"/>
  <c r="H274" i="1"/>
  <c r="J429" i="1"/>
  <c r="G274" i="1" l="1"/>
  <c r="C275" i="1" s="1"/>
  <c r="D275" i="1" l="1"/>
  <c r="F275" i="1" s="1"/>
  <c r="K275" i="1"/>
  <c r="J430" i="1"/>
  <c r="E275" i="1" l="1"/>
  <c r="H275" i="1"/>
  <c r="G275" i="1" l="1"/>
  <c r="C276" i="1" s="1"/>
  <c r="J431" i="1"/>
  <c r="D276" i="1" l="1"/>
  <c r="F276" i="1" s="1"/>
  <c r="K276" i="1"/>
  <c r="J432" i="1"/>
  <c r="E276" i="1" l="1"/>
  <c r="H276" i="1"/>
  <c r="G276" i="1" l="1"/>
  <c r="C277" i="1" s="1"/>
  <c r="J433" i="1"/>
  <c r="D277" i="1" l="1"/>
  <c r="F277" i="1" s="1"/>
  <c r="K277" i="1"/>
  <c r="E277" i="1" l="1"/>
  <c r="H277" i="1"/>
  <c r="G277" i="1"/>
  <c r="C278" i="1" s="1"/>
  <c r="J434" i="1"/>
  <c r="D278" i="1" l="1"/>
  <c r="F278" i="1" s="1"/>
  <c r="K278" i="1"/>
  <c r="J435" i="1"/>
  <c r="E278" i="1" l="1"/>
  <c r="H278" i="1"/>
  <c r="G278" i="1"/>
  <c r="C279" i="1" s="1"/>
  <c r="D279" i="1" l="1"/>
  <c r="F279" i="1" s="1"/>
  <c r="K279" i="1"/>
  <c r="J436" i="1"/>
  <c r="E279" i="1" l="1"/>
  <c r="H279" i="1"/>
  <c r="G279" i="1"/>
  <c r="C280" i="1" s="1"/>
  <c r="D280" i="1" l="1"/>
  <c r="F280" i="1" s="1"/>
  <c r="K280" i="1"/>
  <c r="J437" i="1"/>
  <c r="E280" i="1" l="1"/>
  <c r="H280" i="1"/>
  <c r="G280" i="1" l="1"/>
  <c r="C281" i="1" s="1"/>
  <c r="J439" i="1"/>
  <c r="D281" i="1" l="1"/>
  <c r="F281" i="1" s="1"/>
  <c r="K281" i="1"/>
  <c r="J440" i="1"/>
  <c r="E281" i="1" l="1"/>
  <c r="H281" i="1"/>
  <c r="G281" i="1" l="1"/>
  <c r="C282" i="1" s="1"/>
  <c r="J441" i="1"/>
  <c r="D282" i="1" l="1"/>
  <c r="F282" i="1" s="1"/>
  <c r="K282" i="1"/>
  <c r="E282" i="1" l="1"/>
  <c r="H282" i="1"/>
  <c r="J442" i="1"/>
  <c r="G282" i="1" l="1"/>
  <c r="C283" i="1" s="1"/>
  <c r="J443" i="1"/>
  <c r="K283" i="1" l="1"/>
  <c r="D283" i="1"/>
  <c r="F283" i="1" s="1"/>
  <c r="E283" i="1" l="1"/>
  <c r="H283" i="1"/>
  <c r="J444" i="1"/>
  <c r="G283" i="1" l="1"/>
  <c r="C284" i="1" s="1"/>
  <c r="D284" i="1" l="1"/>
  <c r="F284" i="1" s="1"/>
  <c r="K284" i="1"/>
  <c r="J445" i="1"/>
  <c r="E284" i="1" l="1"/>
  <c r="H284" i="1"/>
  <c r="G284" i="1"/>
  <c r="C285" i="1" s="1"/>
  <c r="J446" i="1"/>
  <c r="D285" i="1" l="1"/>
  <c r="F285" i="1" s="1"/>
  <c r="K285" i="1"/>
  <c r="E285" i="1" l="1"/>
  <c r="H285" i="1"/>
  <c r="G285" i="1"/>
  <c r="C286" i="1" s="1"/>
  <c r="J447" i="1"/>
  <c r="D286" i="1" l="1"/>
  <c r="F286" i="1" s="1"/>
  <c r="K286" i="1"/>
  <c r="E286" i="1" l="1"/>
  <c r="H286" i="1"/>
  <c r="J448" i="1"/>
  <c r="G286" i="1" l="1"/>
  <c r="C287" i="1" s="1"/>
  <c r="J449" i="1"/>
  <c r="K287" i="1" l="1"/>
  <c r="D287" i="1"/>
  <c r="F287" i="1" s="1"/>
  <c r="E287" i="1" l="1"/>
  <c r="H287" i="1"/>
  <c r="J450" i="1"/>
  <c r="G287" i="1" l="1"/>
  <c r="C288" i="1" s="1"/>
  <c r="D288" i="1" l="1"/>
  <c r="F288" i="1" s="1"/>
  <c r="K288" i="1"/>
  <c r="J451" i="1"/>
  <c r="E288" i="1" l="1"/>
  <c r="H288" i="1"/>
  <c r="J452" i="1"/>
  <c r="G288" i="1" l="1"/>
  <c r="C289" i="1" s="1"/>
  <c r="D289" i="1" l="1"/>
  <c r="F289" i="1" s="1"/>
  <c r="K289" i="1"/>
  <c r="J453" i="1"/>
  <c r="E289" i="1" l="1"/>
  <c r="H289" i="1"/>
  <c r="G289" i="1"/>
  <c r="C290" i="1" s="1"/>
  <c r="D290" i="1" l="1"/>
  <c r="F290" i="1" s="1"/>
  <c r="K290" i="1"/>
  <c r="J454" i="1"/>
  <c r="E290" i="1" l="1"/>
  <c r="H290" i="1"/>
  <c r="G290" i="1"/>
  <c r="C291" i="1" s="1"/>
  <c r="J455" i="1"/>
  <c r="D291" i="1" l="1"/>
  <c r="F291" i="1" s="1"/>
  <c r="K291" i="1"/>
  <c r="E291" i="1" l="1"/>
  <c r="H291" i="1"/>
  <c r="G291" i="1"/>
  <c r="C292" i="1" s="1"/>
  <c r="J456" i="1"/>
  <c r="D292" i="1" l="1"/>
  <c r="F292" i="1" s="1"/>
  <c r="K292" i="1"/>
  <c r="E292" i="1" l="1"/>
  <c r="H292" i="1"/>
  <c r="J457" i="1"/>
  <c r="G292" i="1" l="1"/>
  <c r="C293" i="1" s="1"/>
  <c r="J458" i="1"/>
  <c r="D293" i="1" l="1"/>
  <c r="F293" i="1" s="1"/>
  <c r="K293" i="1"/>
  <c r="E293" i="1" l="1"/>
  <c r="H293" i="1"/>
  <c r="J459" i="1"/>
  <c r="G293" i="1" l="1"/>
  <c r="C294" i="1" s="1"/>
  <c r="J460" i="1"/>
  <c r="K294" i="1" l="1"/>
  <c r="D294" i="1"/>
  <c r="F294" i="1" s="1"/>
  <c r="E294" i="1" l="1"/>
  <c r="H294" i="1"/>
  <c r="J461" i="1"/>
  <c r="G294" i="1" l="1"/>
  <c r="C295" i="1" s="1"/>
  <c r="D295" i="1" l="1"/>
  <c r="F295" i="1" s="1"/>
  <c r="K295" i="1"/>
  <c r="J462" i="1"/>
  <c r="E295" i="1" l="1"/>
  <c r="H295" i="1"/>
  <c r="J463" i="1"/>
  <c r="G295" i="1" l="1"/>
  <c r="C296" i="1" s="1"/>
  <c r="K296" i="1" l="1"/>
  <c r="D296" i="1"/>
  <c r="F296" i="1" s="1"/>
  <c r="J464" i="1"/>
  <c r="E296" i="1" l="1"/>
  <c r="H296" i="1"/>
  <c r="G296" i="1" l="1"/>
  <c r="C297" i="1" s="1"/>
  <c r="J465" i="1"/>
  <c r="D297" i="1" l="1"/>
  <c r="F297" i="1" s="1"/>
  <c r="K297" i="1"/>
  <c r="J466" i="1"/>
  <c r="E297" i="1" l="1"/>
  <c r="H297" i="1"/>
  <c r="G297" i="1"/>
  <c r="C298" i="1" s="1"/>
  <c r="D298" i="1" l="1"/>
  <c r="F298" i="1" s="1"/>
  <c r="K298" i="1"/>
  <c r="J467" i="1"/>
  <c r="E298" i="1" l="1"/>
  <c r="H298" i="1"/>
  <c r="G298" i="1" l="1"/>
  <c r="C299" i="1" s="1"/>
  <c r="J468" i="1"/>
  <c r="D299" i="1" l="1"/>
  <c r="F299" i="1" s="1"/>
  <c r="K299" i="1"/>
  <c r="J469" i="1"/>
  <c r="E299" i="1" l="1"/>
  <c r="H299" i="1"/>
  <c r="G299" i="1" l="1"/>
  <c r="C300" i="1" s="1"/>
  <c r="J470" i="1"/>
  <c r="K300" i="1" l="1"/>
  <c r="D300" i="1"/>
  <c r="F300" i="1" s="1"/>
  <c r="E300" i="1" l="1"/>
  <c r="H300" i="1"/>
  <c r="G300" i="1"/>
  <c r="C301" i="1" s="1"/>
  <c r="J471" i="1"/>
  <c r="D301" i="1" l="1"/>
  <c r="F301" i="1" s="1"/>
  <c r="K301" i="1"/>
  <c r="J472" i="1"/>
  <c r="E301" i="1" l="1"/>
  <c r="H301" i="1"/>
  <c r="G301" i="1"/>
  <c r="C302" i="1" s="1"/>
  <c r="K302" i="1" l="1"/>
  <c r="D302" i="1"/>
  <c r="F302" i="1" s="1"/>
  <c r="J473" i="1"/>
  <c r="E302" i="1" l="1"/>
  <c r="H302" i="1"/>
  <c r="G302" i="1" l="1"/>
  <c r="C303" i="1" s="1"/>
  <c r="J474" i="1"/>
  <c r="D303" i="1" l="1"/>
  <c r="F303" i="1" s="1"/>
  <c r="K303" i="1"/>
  <c r="J475" i="1"/>
  <c r="E303" i="1" l="1"/>
  <c r="H303" i="1"/>
  <c r="G303" i="1"/>
  <c r="C304" i="1" s="1"/>
  <c r="K304" i="1" l="1"/>
  <c r="D304" i="1"/>
  <c r="F304" i="1" s="1"/>
  <c r="J476" i="1"/>
  <c r="E304" i="1" l="1"/>
  <c r="H304" i="1"/>
  <c r="G304" i="1"/>
  <c r="C305" i="1" s="1"/>
  <c r="K305" i="1" l="1"/>
  <c r="D305" i="1"/>
  <c r="F305" i="1" s="1"/>
  <c r="J477" i="1"/>
  <c r="E305" i="1" l="1"/>
  <c r="H305" i="1"/>
  <c r="G305" i="1"/>
  <c r="C306" i="1" s="1"/>
  <c r="J478" i="1"/>
  <c r="D306" i="1" l="1"/>
  <c r="F306" i="1" s="1"/>
  <c r="K306" i="1"/>
  <c r="E306" i="1" l="1"/>
  <c r="H306" i="1"/>
  <c r="G306" i="1"/>
  <c r="C307" i="1" s="1"/>
  <c r="J479" i="1"/>
  <c r="D307" i="1" l="1"/>
  <c r="F307" i="1" s="1"/>
  <c r="K307" i="1"/>
  <c r="E307" i="1" l="1"/>
  <c r="H307" i="1"/>
  <c r="G307" i="1"/>
  <c r="C308" i="1" s="1"/>
  <c r="J480" i="1"/>
  <c r="D308" i="1" l="1"/>
  <c r="F308" i="1" s="1"/>
  <c r="K308" i="1"/>
  <c r="J481" i="1"/>
  <c r="E308" i="1" l="1"/>
  <c r="H308" i="1"/>
  <c r="G308" i="1"/>
  <c r="C309" i="1" s="1"/>
  <c r="K309" i="1" l="1"/>
  <c r="D309" i="1"/>
  <c r="F309" i="1" s="1"/>
  <c r="J482" i="1"/>
  <c r="E309" i="1" l="1"/>
  <c r="H309" i="1"/>
  <c r="G309" i="1" l="1"/>
  <c r="C310" i="1" s="1"/>
  <c r="J483" i="1"/>
  <c r="K310" i="1" l="1"/>
  <c r="D310" i="1"/>
  <c r="F310" i="1" s="1"/>
  <c r="J484" i="1"/>
  <c r="E310" i="1" l="1"/>
  <c r="H310" i="1"/>
  <c r="G310" i="1"/>
  <c r="C311" i="1" s="1"/>
  <c r="D311" i="1" l="1"/>
  <c r="F311" i="1" s="1"/>
  <c r="K311" i="1"/>
  <c r="J485" i="1"/>
  <c r="E311" i="1" l="1"/>
  <c r="H311" i="1"/>
  <c r="G311" i="1"/>
  <c r="C312" i="1" s="1"/>
  <c r="J486" i="1"/>
  <c r="D312" i="1" l="1"/>
  <c r="F312" i="1" s="1"/>
  <c r="K312" i="1"/>
  <c r="E312" i="1" l="1"/>
  <c r="H312" i="1"/>
  <c r="G312" i="1"/>
  <c r="C313" i="1" s="1"/>
  <c r="J487" i="1"/>
  <c r="D313" i="1" l="1"/>
  <c r="F313" i="1" s="1"/>
  <c r="K313" i="1"/>
  <c r="E313" i="1" l="1"/>
  <c r="H313" i="1"/>
  <c r="G313" i="1"/>
  <c r="C314" i="1" s="1"/>
  <c r="J488" i="1"/>
  <c r="K314" i="1" l="1"/>
  <c r="D314" i="1"/>
  <c r="F314" i="1" s="1"/>
  <c r="J489" i="1"/>
  <c r="E314" i="1" l="1"/>
  <c r="H314" i="1"/>
  <c r="G314" i="1"/>
  <c r="C315" i="1" s="1"/>
  <c r="D315" i="1" l="1"/>
  <c r="F315" i="1" s="1"/>
  <c r="K315" i="1"/>
  <c r="J490" i="1"/>
  <c r="E315" i="1" l="1"/>
  <c r="H315" i="1"/>
  <c r="G315" i="1"/>
  <c r="C316" i="1" s="1"/>
  <c r="D316" i="1" l="1"/>
  <c r="F316" i="1" s="1"/>
  <c r="K316" i="1"/>
  <c r="J491" i="1"/>
  <c r="E316" i="1" l="1"/>
  <c r="H316" i="1"/>
  <c r="G316" i="1"/>
  <c r="C317" i="1" s="1"/>
  <c r="J492" i="1"/>
  <c r="D317" i="1" l="1"/>
  <c r="F317" i="1" s="1"/>
  <c r="K317" i="1"/>
  <c r="E317" i="1" l="1"/>
  <c r="H317" i="1"/>
  <c r="J493" i="1"/>
  <c r="G317" i="1" l="1"/>
  <c r="C318" i="1" s="1"/>
  <c r="D318" i="1" l="1"/>
  <c r="F318" i="1" s="1"/>
  <c r="K318" i="1"/>
  <c r="J494" i="1"/>
  <c r="E318" i="1" l="1"/>
  <c r="H318" i="1"/>
  <c r="J495" i="1"/>
  <c r="G318" i="1" l="1"/>
  <c r="C319" i="1" s="1"/>
  <c r="D319" i="1" l="1"/>
  <c r="F319" i="1" s="1"/>
  <c r="K319" i="1"/>
  <c r="J496" i="1"/>
  <c r="E319" i="1" l="1"/>
  <c r="H319" i="1"/>
  <c r="G319" i="1" l="1"/>
  <c r="C320" i="1" s="1"/>
  <c r="J497" i="1"/>
  <c r="D320" i="1" l="1"/>
  <c r="F320" i="1" s="1"/>
  <c r="K320" i="1"/>
  <c r="J498" i="1"/>
  <c r="E320" i="1" l="1"/>
  <c r="H320" i="1"/>
  <c r="G320" i="1"/>
  <c r="C321" i="1" s="1"/>
  <c r="K321" i="1" l="1"/>
  <c r="D321" i="1"/>
  <c r="F321" i="1" s="1"/>
  <c r="J499" i="1"/>
  <c r="E321" i="1" l="1"/>
  <c r="H321" i="1"/>
  <c r="G321" i="1"/>
  <c r="C322" i="1" s="1"/>
  <c r="D322" i="1" l="1"/>
  <c r="F322" i="1" s="1"/>
  <c r="K322" i="1"/>
  <c r="J500" i="1"/>
  <c r="E322" i="1" l="1"/>
  <c r="H322" i="1"/>
  <c r="J501" i="1"/>
  <c r="G322" i="1" l="1"/>
  <c r="C323" i="1" s="1"/>
  <c r="D323" i="1" l="1"/>
  <c r="F323" i="1" s="1"/>
  <c r="K323" i="1"/>
  <c r="J502" i="1"/>
  <c r="E323" i="1" l="1"/>
  <c r="H323" i="1"/>
  <c r="G323" i="1"/>
  <c r="C324" i="1" s="1"/>
  <c r="K324" i="1" l="1"/>
  <c r="D324" i="1"/>
  <c r="F324" i="1" s="1"/>
  <c r="J503" i="1"/>
  <c r="E324" i="1" l="1"/>
  <c r="H324" i="1"/>
  <c r="G324" i="1"/>
  <c r="C325" i="1" s="1"/>
  <c r="J504" i="1"/>
  <c r="K325" i="1" l="1"/>
  <c r="D325" i="1"/>
  <c r="F325" i="1" s="1"/>
  <c r="E325" i="1" l="1"/>
  <c r="H325" i="1"/>
  <c r="G325" i="1"/>
  <c r="C326" i="1" s="1"/>
  <c r="J505" i="1"/>
  <c r="D326" i="1" l="1"/>
  <c r="F326" i="1" s="1"/>
  <c r="K326" i="1"/>
  <c r="E326" i="1" l="1"/>
  <c r="H326" i="1"/>
  <c r="J506" i="1"/>
  <c r="G326" i="1" l="1"/>
  <c r="C327" i="1" s="1"/>
  <c r="J507" i="1"/>
  <c r="D327" i="1" l="1"/>
  <c r="F327" i="1" s="1"/>
  <c r="K327" i="1"/>
  <c r="E327" i="1" l="1"/>
  <c r="H327" i="1"/>
  <c r="G327" i="1"/>
  <c r="C328" i="1" s="1"/>
  <c r="J508" i="1"/>
  <c r="K328" i="1" l="1"/>
  <c r="D328" i="1"/>
  <c r="F328" i="1" s="1"/>
  <c r="E328" i="1" l="1"/>
  <c r="H328" i="1"/>
  <c r="G328" i="1"/>
  <c r="C329" i="1" s="1"/>
  <c r="J509" i="1"/>
  <c r="D329" i="1" l="1"/>
  <c r="F329" i="1" s="1"/>
  <c r="K329" i="1"/>
  <c r="J510" i="1"/>
  <c r="E329" i="1" l="1"/>
  <c r="H329" i="1"/>
  <c r="G329" i="1"/>
  <c r="C330" i="1" s="1"/>
  <c r="D330" i="1" l="1"/>
  <c r="F330" i="1" s="1"/>
  <c r="K330" i="1"/>
  <c r="J511" i="1"/>
  <c r="E330" i="1" l="1"/>
  <c r="H330" i="1"/>
  <c r="G330" i="1"/>
  <c r="C331" i="1" s="1"/>
  <c r="D331" i="1" l="1"/>
  <c r="F331" i="1" s="1"/>
  <c r="K331" i="1"/>
  <c r="E331" i="1" l="1"/>
  <c r="H331" i="1"/>
  <c r="G331" i="1"/>
  <c r="C332" i="1" s="1"/>
  <c r="D332" i="1" l="1"/>
  <c r="F332" i="1" s="1"/>
  <c r="K332" i="1"/>
  <c r="E332" i="1" l="1"/>
  <c r="H332" i="1"/>
  <c r="G332" i="1" l="1"/>
  <c r="C333" i="1" s="1"/>
  <c r="D333" i="1" l="1"/>
  <c r="F333" i="1" s="1"/>
  <c r="K333" i="1"/>
  <c r="E333" i="1" l="1"/>
  <c r="H333" i="1"/>
  <c r="G333" i="1"/>
  <c r="C334" i="1" s="1"/>
  <c r="K334" i="1" l="1"/>
  <c r="D334" i="1"/>
  <c r="F334" i="1" s="1"/>
  <c r="E334" i="1" l="1"/>
  <c r="H334" i="1"/>
  <c r="G334" i="1"/>
  <c r="C335" i="1" s="1"/>
  <c r="D335" i="1" l="1"/>
  <c r="F335" i="1" s="1"/>
  <c r="K335" i="1"/>
  <c r="E335" i="1" l="1"/>
  <c r="H335" i="1"/>
  <c r="G335" i="1"/>
  <c r="C336" i="1" s="1"/>
  <c r="K336" i="1" l="1"/>
  <c r="D336" i="1"/>
  <c r="F336" i="1" s="1"/>
  <c r="E336" i="1" l="1"/>
  <c r="H336" i="1"/>
  <c r="G336" i="1"/>
  <c r="C337" i="1" s="1"/>
  <c r="D337" i="1" l="1"/>
  <c r="F337" i="1" s="1"/>
  <c r="K337" i="1"/>
  <c r="E337" i="1" l="1"/>
  <c r="H337" i="1"/>
  <c r="G337" i="1"/>
  <c r="C338" i="1" s="1"/>
  <c r="K338" i="1" l="1"/>
  <c r="D338" i="1"/>
  <c r="F338" i="1" s="1"/>
  <c r="E338" i="1" l="1"/>
  <c r="H338" i="1"/>
  <c r="G338" i="1"/>
  <c r="C339" i="1" s="1"/>
  <c r="D339" i="1" l="1"/>
  <c r="F339" i="1" s="1"/>
  <c r="K339" i="1"/>
  <c r="E339" i="1" l="1"/>
  <c r="H339" i="1"/>
  <c r="G339" i="1"/>
  <c r="C340" i="1" s="1"/>
  <c r="D340" i="1" l="1"/>
  <c r="F340" i="1" s="1"/>
  <c r="K340" i="1"/>
  <c r="E340" i="1" l="1"/>
  <c r="H340" i="1"/>
  <c r="G340" i="1"/>
  <c r="C341" i="1" s="1"/>
  <c r="D341" i="1" l="1"/>
  <c r="F341" i="1" s="1"/>
  <c r="K341" i="1"/>
  <c r="E341" i="1" l="1"/>
  <c r="H341" i="1"/>
  <c r="G341" i="1"/>
  <c r="C342" i="1" s="1"/>
  <c r="D342" i="1" l="1"/>
  <c r="F342" i="1" s="1"/>
  <c r="K342" i="1"/>
  <c r="E342" i="1" l="1"/>
  <c r="H342" i="1"/>
  <c r="G342" i="1"/>
  <c r="C343" i="1" s="1"/>
  <c r="K343" i="1" l="1"/>
  <c r="D343" i="1"/>
  <c r="F343" i="1" s="1"/>
  <c r="E343" i="1" l="1"/>
  <c r="H343" i="1"/>
  <c r="G343" i="1"/>
  <c r="C344" i="1" s="1"/>
  <c r="D344" i="1" l="1"/>
  <c r="F344" i="1" s="1"/>
  <c r="K344" i="1"/>
  <c r="E344" i="1" l="1"/>
  <c r="H344" i="1"/>
  <c r="G344" i="1"/>
  <c r="C345" i="1" s="1"/>
  <c r="D345" i="1" l="1"/>
  <c r="F345" i="1" s="1"/>
  <c r="K345" i="1"/>
  <c r="E345" i="1" l="1"/>
  <c r="H345" i="1"/>
  <c r="G345" i="1"/>
  <c r="C346" i="1" s="1"/>
  <c r="K346" i="1" l="1"/>
  <c r="D346" i="1"/>
  <c r="F346" i="1" s="1"/>
  <c r="E346" i="1" l="1"/>
  <c r="H346" i="1"/>
  <c r="G346" i="1"/>
  <c r="C347" i="1" s="1"/>
  <c r="D347" i="1" l="1"/>
  <c r="F347" i="1" s="1"/>
  <c r="K347" i="1"/>
  <c r="E347" i="1" l="1"/>
  <c r="H347" i="1"/>
  <c r="G347" i="1"/>
  <c r="C348" i="1" s="1"/>
  <c r="D348" i="1" l="1"/>
  <c r="F348" i="1" s="1"/>
  <c r="K348" i="1"/>
  <c r="E348" i="1" l="1"/>
  <c r="H348" i="1"/>
  <c r="G348" i="1"/>
  <c r="C349" i="1" s="1"/>
  <c r="D349" i="1" l="1"/>
  <c r="F349" i="1" s="1"/>
  <c r="K349" i="1"/>
  <c r="E349" i="1" l="1"/>
  <c r="H349" i="1"/>
  <c r="G349" i="1"/>
  <c r="C350" i="1" s="1"/>
  <c r="D350" i="1" l="1"/>
  <c r="F350" i="1" s="1"/>
  <c r="K350" i="1"/>
  <c r="E350" i="1" l="1"/>
  <c r="H350" i="1"/>
  <c r="G350" i="1"/>
  <c r="C351" i="1" s="1"/>
  <c r="K351" i="1" l="1"/>
  <c r="D351" i="1"/>
  <c r="F351" i="1" s="1"/>
  <c r="E351" i="1" l="1"/>
  <c r="H351" i="1"/>
  <c r="G351" i="1"/>
  <c r="C352" i="1" s="1"/>
  <c r="K352" i="1" l="1"/>
  <c r="D352" i="1"/>
  <c r="F352" i="1" s="1"/>
  <c r="E352" i="1" l="1"/>
  <c r="H352" i="1"/>
  <c r="G352" i="1"/>
  <c r="C353" i="1" s="1"/>
  <c r="K353" i="1" l="1"/>
  <c r="D353" i="1"/>
  <c r="F353" i="1" s="1"/>
  <c r="E353" i="1" l="1"/>
  <c r="H353" i="1"/>
  <c r="G353" i="1"/>
  <c r="C354" i="1" s="1"/>
  <c r="D354" i="1" l="1"/>
  <c r="F354" i="1" s="1"/>
  <c r="K354" i="1"/>
  <c r="E354" i="1" l="1"/>
  <c r="H354" i="1"/>
  <c r="G354" i="1"/>
  <c r="C355" i="1" s="1"/>
  <c r="D355" i="1" l="1"/>
  <c r="F355" i="1" s="1"/>
  <c r="K355" i="1"/>
  <c r="E355" i="1" l="1"/>
  <c r="H355" i="1"/>
  <c r="G355" i="1"/>
  <c r="C356" i="1" s="1"/>
  <c r="K356" i="1" l="1"/>
  <c r="D356" i="1"/>
  <c r="F356" i="1" s="1"/>
  <c r="E356" i="1" l="1"/>
  <c r="H356" i="1"/>
  <c r="G356" i="1"/>
  <c r="C357" i="1" s="1"/>
  <c r="D357" i="1" l="1"/>
  <c r="F357" i="1" s="1"/>
  <c r="K357" i="1"/>
  <c r="E357" i="1" l="1"/>
  <c r="H357" i="1"/>
  <c r="G357" i="1"/>
  <c r="C358" i="1" s="1"/>
  <c r="D358" i="1" l="1"/>
  <c r="F358" i="1" s="1"/>
  <c r="K358" i="1"/>
  <c r="E358" i="1" l="1"/>
  <c r="H358" i="1"/>
  <c r="G358" i="1"/>
  <c r="C359" i="1" s="1"/>
  <c r="D359" i="1" l="1"/>
  <c r="F359" i="1" s="1"/>
  <c r="K359" i="1"/>
  <c r="E359" i="1" l="1"/>
  <c r="H359" i="1"/>
  <c r="G359" i="1" l="1"/>
  <c r="C360" i="1" s="1"/>
  <c r="D360" i="1" l="1"/>
  <c r="F360" i="1" s="1"/>
  <c r="K360" i="1"/>
  <c r="E360" i="1" l="1"/>
  <c r="H360" i="1"/>
  <c r="G360" i="1" l="1"/>
  <c r="C361" i="1" s="1"/>
  <c r="D361" i="1" l="1"/>
  <c r="F361" i="1" s="1"/>
  <c r="K361" i="1"/>
  <c r="E361" i="1" l="1"/>
  <c r="H361" i="1"/>
  <c r="G361" i="1"/>
  <c r="C362" i="1" s="1"/>
  <c r="D362" i="1" l="1"/>
  <c r="F362" i="1" s="1"/>
  <c r="K362" i="1"/>
  <c r="E362" i="1" l="1"/>
  <c r="H362" i="1"/>
  <c r="G362" i="1" l="1"/>
  <c r="C363" i="1" s="1"/>
  <c r="D363" i="1" l="1"/>
  <c r="F363" i="1" s="1"/>
  <c r="K363" i="1"/>
  <c r="E363" i="1" l="1"/>
  <c r="H363" i="1"/>
  <c r="G363" i="1"/>
  <c r="C364" i="1" s="1"/>
  <c r="D364" i="1" l="1"/>
  <c r="F364" i="1" s="1"/>
  <c r="K364" i="1"/>
  <c r="E364" i="1" l="1"/>
  <c r="H364" i="1"/>
  <c r="G364" i="1" l="1"/>
  <c r="C365" i="1" s="1"/>
  <c r="K365" i="1" l="1"/>
  <c r="D365" i="1"/>
  <c r="F365" i="1" s="1"/>
  <c r="E365" i="1" l="1"/>
  <c r="H365" i="1"/>
  <c r="G365" i="1"/>
  <c r="C366" i="1" s="1"/>
  <c r="K366" i="1" l="1"/>
  <c r="D366" i="1"/>
  <c r="F366" i="1" s="1"/>
  <c r="E366" i="1" l="1"/>
  <c r="H366" i="1"/>
  <c r="G366" i="1" l="1"/>
  <c r="C367" i="1" s="1"/>
  <c r="D367" i="1" l="1"/>
  <c r="F367" i="1" s="1"/>
  <c r="K367" i="1"/>
  <c r="E367" i="1" l="1"/>
  <c r="H367" i="1"/>
  <c r="G367" i="1" l="1"/>
  <c r="C368" i="1" s="1"/>
  <c r="D368" i="1" l="1"/>
  <c r="F368" i="1" s="1"/>
  <c r="K368" i="1"/>
  <c r="E368" i="1" l="1"/>
  <c r="H368" i="1"/>
  <c r="G368" i="1"/>
  <c r="C369" i="1" s="1"/>
  <c r="D369" i="1" l="1"/>
  <c r="F369" i="1" s="1"/>
  <c r="K369" i="1"/>
  <c r="E369" i="1" l="1"/>
  <c r="H369" i="1"/>
  <c r="G369" i="1"/>
  <c r="C370" i="1" s="1"/>
  <c r="K370" i="1" l="1"/>
  <c r="D370" i="1"/>
  <c r="F370" i="1" s="1"/>
  <c r="E370" i="1" l="1"/>
  <c r="H370" i="1"/>
  <c r="G370" i="1" l="1"/>
  <c r="C371" i="1" s="1"/>
  <c r="D371" i="1" l="1"/>
  <c r="F371" i="1" s="1"/>
  <c r="K371" i="1"/>
  <c r="E371" i="1" l="1"/>
  <c r="H371" i="1"/>
  <c r="G371" i="1"/>
  <c r="C372" i="1" s="1"/>
  <c r="D372" i="1" l="1"/>
  <c r="F372" i="1" s="1"/>
  <c r="K372" i="1"/>
  <c r="E372" i="1" l="1"/>
  <c r="H372" i="1"/>
  <c r="G372" i="1"/>
  <c r="C373" i="1" s="1"/>
  <c r="D373" i="1" l="1"/>
  <c r="F373" i="1" s="1"/>
  <c r="K373" i="1"/>
  <c r="E373" i="1" l="1"/>
  <c r="H373" i="1"/>
  <c r="G373" i="1" l="1"/>
  <c r="C374" i="1" s="1"/>
  <c r="D374" i="1" l="1"/>
  <c r="F374" i="1" s="1"/>
  <c r="K374" i="1"/>
  <c r="E374" i="1" l="1"/>
  <c r="H374" i="1"/>
  <c r="G374" i="1"/>
  <c r="C375" i="1" s="1"/>
  <c r="D375" i="1" l="1"/>
  <c r="F375" i="1" s="1"/>
  <c r="K375" i="1"/>
  <c r="E375" i="1" l="1"/>
  <c r="H375" i="1"/>
  <c r="G375" i="1" l="1"/>
  <c r="C376" i="1" s="1"/>
  <c r="K376" i="1" l="1"/>
  <c r="D376" i="1"/>
  <c r="F376" i="1" s="1"/>
  <c r="E376" i="1" l="1"/>
  <c r="H376" i="1"/>
  <c r="G376" i="1"/>
  <c r="C377" i="1" s="1"/>
  <c r="D377" i="1" l="1"/>
  <c r="F377" i="1" s="1"/>
  <c r="K377" i="1"/>
  <c r="E377" i="1" l="1"/>
  <c r="H377" i="1"/>
  <c r="G377" i="1" l="1"/>
  <c r="C378" i="1" s="1"/>
  <c r="D378" i="1" l="1"/>
  <c r="F378" i="1" s="1"/>
  <c r="K378" i="1"/>
  <c r="E378" i="1" l="1"/>
  <c r="H378" i="1"/>
  <c r="G378" i="1"/>
  <c r="C379" i="1" s="1"/>
  <c r="D379" i="1" l="1"/>
  <c r="F379" i="1" s="1"/>
  <c r="K379" i="1"/>
  <c r="E379" i="1" l="1"/>
  <c r="H379" i="1"/>
  <c r="G379" i="1"/>
  <c r="C380" i="1" s="1"/>
  <c r="D380" i="1" l="1"/>
  <c r="F380" i="1" s="1"/>
  <c r="K380" i="1"/>
  <c r="E380" i="1" l="1"/>
  <c r="H380" i="1"/>
  <c r="G380" i="1"/>
  <c r="C381" i="1" s="1"/>
  <c r="D381" i="1" l="1"/>
  <c r="F381" i="1" s="1"/>
  <c r="K381" i="1"/>
  <c r="E381" i="1" l="1"/>
  <c r="H381" i="1"/>
  <c r="G381" i="1"/>
  <c r="C382" i="1" s="1"/>
  <c r="D382" i="1" l="1"/>
  <c r="F382" i="1" s="1"/>
  <c r="K382" i="1"/>
  <c r="E382" i="1" l="1"/>
  <c r="H382" i="1"/>
  <c r="G382" i="1"/>
  <c r="C383" i="1" s="1"/>
  <c r="K383" i="1" l="1"/>
  <c r="D383" i="1"/>
  <c r="F383" i="1" s="1"/>
  <c r="E383" i="1" l="1"/>
  <c r="H383" i="1"/>
  <c r="G383" i="1" l="1"/>
  <c r="C384" i="1" s="1"/>
  <c r="K384" i="1" l="1"/>
  <c r="D384" i="1"/>
  <c r="F384" i="1" s="1"/>
  <c r="E384" i="1" l="1"/>
  <c r="H384" i="1"/>
  <c r="G384" i="1"/>
  <c r="C385" i="1" s="1"/>
  <c r="K385" i="1" l="1"/>
  <c r="D385" i="1"/>
  <c r="F385" i="1" s="1"/>
  <c r="E385" i="1" l="1"/>
  <c r="H385" i="1"/>
  <c r="G385" i="1" l="1"/>
  <c r="C386" i="1" s="1"/>
  <c r="D386" i="1" l="1"/>
  <c r="F386" i="1" s="1"/>
  <c r="K386" i="1"/>
  <c r="E386" i="1" l="1"/>
  <c r="H386" i="1"/>
  <c r="G386" i="1" l="1"/>
  <c r="C387" i="1" s="1"/>
  <c r="D387" i="1" l="1"/>
  <c r="F387" i="1" s="1"/>
  <c r="K387" i="1"/>
  <c r="E387" i="1" l="1"/>
  <c r="H387" i="1"/>
  <c r="G387" i="1"/>
  <c r="C388" i="1" s="1"/>
  <c r="D388" i="1" l="1"/>
  <c r="F388" i="1" s="1"/>
  <c r="K388" i="1"/>
  <c r="E388" i="1" l="1"/>
  <c r="H388" i="1"/>
  <c r="G388" i="1"/>
  <c r="C389" i="1" s="1"/>
  <c r="D389" i="1" l="1"/>
  <c r="F389" i="1" s="1"/>
  <c r="K389" i="1"/>
  <c r="E389" i="1" l="1"/>
  <c r="H389" i="1"/>
  <c r="G389" i="1" l="1"/>
  <c r="C390" i="1" s="1"/>
  <c r="K390" i="1" l="1"/>
  <c r="D390" i="1"/>
  <c r="F390" i="1" s="1"/>
  <c r="E390" i="1" l="1"/>
  <c r="H390" i="1"/>
  <c r="G390" i="1" l="1"/>
  <c r="C391" i="1" s="1"/>
  <c r="D391" i="1" l="1"/>
  <c r="F391" i="1" s="1"/>
  <c r="K391" i="1"/>
  <c r="E391" i="1" l="1"/>
  <c r="H391" i="1"/>
  <c r="G391" i="1"/>
  <c r="C392" i="1" s="1"/>
  <c r="K392" i="1" l="1"/>
  <c r="D392" i="1"/>
  <c r="F392" i="1" s="1"/>
  <c r="E392" i="1" l="1"/>
  <c r="H392" i="1"/>
  <c r="G392" i="1" l="1"/>
  <c r="C393" i="1" s="1"/>
  <c r="D393" i="1" l="1"/>
  <c r="F393" i="1" s="1"/>
  <c r="K393" i="1"/>
  <c r="E393" i="1" l="1"/>
  <c r="H393" i="1"/>
  <c r="G393" i="1"/>
  <c r="C394" i="1" s="1"/>
  <c r="D394" i="1" l="1"/>
  <c r="F394" i="1" s="1"/>
  <c r="K394" i="1"/>
  <c r="E394" i="1" l="1"/>
  <c r="H394" i="1"/>
  <c r="G394" i="1"/>
  <c r="C395" i="1" s="1"/>
  <c r="D395" i="1" l="1"/>
  <c r="F395" i="1" s="1"/>
  <c r="K395" i="1"/>
  <c r="E395" i="1" l="1"/>
  <c r="H395" i="1"/>
  <c r="G395" i="1"/>
  <c r="C396" i="1" s="1"/>
  <c r="D396" i="1" l="1"/>
  <c r="F396" i="1" s="1"/>
  <c r="K396" i="1"/>
  <c r="E396" i="1" l="1"/>
  <c r="H396" i="1"/>
  <c r="G396" i="1"/>
  <c r="C397" i="1" s="1"/>
  <c r="K397" i="1" l="1"/>
  <c r="D397" i="1"/>
  <c r="F397" i="1" s="1"/>
  <c r="E397" i="1" l="1"/>
  <c r="H397" i="1"/>
  <c r="G397" i="1"/>
  <c r="C398" i="1" s="1"/>
  <c r="D398" i="1" l="1"/>
  <c r="F398" i="1" s="1"/>
  <c r="K398" i="1"/>
  <c r="E398" i="1" l="1"/>
  <c r="H398" i="1"/>
  <c r="G398" i="1"/>
  <c r="C399" i="1" s="1"/>
  <c r="K399" i="1" l="1"/>
  <c r="D399" i="1"/>
  <c r="F399" i="1" s="1"/>
  <c r="E399" i="1" l="1"/>
  <c r="H399" i="1"/>
  <c r="G399" i="1" l="1"/>
  <c r="C400" i="1" s="1"/>
  <c r="K400" i="1" l="1"/>
  <c r="D400" i="1"/>
  <c r="F400" i="1" s="1"/>
  <c r="E400" i="1" l="1"/>
  <c r="H400" i="1"/>
  <c r="G400" i="1" l="1"/>
  <c r="C401" i="1" s="1"/>
  <c r="D401" i="1" l="1"/>
  <c r="F401" i="1" s="1"/>
  <c r="K401" i="1"/>
  <c r="E401" i="1" l="1"/>
  <c r="H401" i="1"/>
  <c r="G401" i="1"/>
  <c r="C402" i="1" s="1"/>
  <c r="D402" i="1" l="1"/>
  <c r="F402" i="1" s="1"/>
  <c r="K402" i="1"/>
  <c r="E402" i="1" l="1"/>
  <c r="H402" i="1"/>
  <c r="G402" i="1" l="1"/>
  <c r="C403" i="1" s="1"/>
  <c r="D403" i="1" l="1"/>
  <c r="F403" i="1" s="1"/>
  <c r="K403" i="1"/>
  <c r="E403" i="1" l="1"/>
  <c r="H403" i="1"/>
  <c r="G403" i="1"/>
  <c r="C404" i="1" s="1"/>
  <c r="K404" i="1" l="1"/>
  <c r="D404" i="1"/>
  <c r="F404" i="1" s="1"/>
  <c r="E404" i="1" l="1"/>
  <c r="H404" i="1"/>
  <c r="G404" i="1"/>
  <c r="C405" i="1" s="1"/>
  <c r="K405" i="1" l="1"/>
  <c r="D405" i="1"/>
  <c r="F405" i="1" s="1"/>
  <c r="E405" i="1" l="1"/>
  <c r="H405" i="1"/>
  <c r="G405" i="1"/>
  <c r="C406" i="1" s="1"/>
  <c r="D406" i="1" l="1"/>
  <c r="F406" i="1" s="1"/>
  <c r="K406" i="1"/>
  <c r="E406" i="1" l="1"/>
  <c r="H406" i="1"/>
  <c r="G406" i="1"/>
  <c r="C407" i="1" s="1"/>
  <c r="K407" i="1" l="1"/>
  <c r="D407" i="1"/>
  <c r="F407" i="1" s="1"/>
  <c r="E407" i="1" l="1"/>
  <c r="H407" i="1"/>
  <c r="G407" i="1"/>
  <c r="C408" i="1" s="1"/>
  <c r="D408" i="1" l="1"/>
  <c r="F408" i="1" s="1"/>
  <c r="K408" i="1"/>
  <c r="E408" i="1" l="1"/>
  <c r="H408" i="1"/>
  <c r="G408" i="1"/>
  <c r="C409" i="1" s="1"/>
  <c r="K409" i="1" l="1"/>
  <c r="D409" i="1"/>
  <c r="F409" i="1" s="1"/>
  <c r="E409" i="1" l="1"/>
  <c r="H409" i="1"/>
  <c r="G409" i="1"/>
  <c r="C410" i="1" s="1"/>
  <c r="K410" i="1" l="1"/>
  <c r="D410" i="1"/>
  <c r="F410" i="1" s="1"/>
  <c r="E410" i="1" l="1"/>
  <c r="H410" i="1"/>
  <c r="G410" i="1" l="1"/>
  <c r="C411" i="1" s="1"/>
  <c r="D411" i="1" l="1"/>
  <c r="F411" i="1" s="1"/>
  <c r="K411" i="1"/>
  <c r="E411" i="1" l="1"/>
  <c r="H411" i="1"/>
  <c r="G411" i="1" l="1"/>
  <c r="C412" i="1" s="1"/>
  <c r="D412" i="1" l="1"/>
  <c r="F412" i="1" s="1"/>
  <c r="K412" i="1"/>
  <c r="E412" i="1" l="1"/>
  <c r="H412" i="1"/>
  <c r="G412" i="1"/>
  <c r="C413" i="1" s="1"/>
  <c r="K413" i="1" l="1"/>
  <c r="D413" i="1"/>
  <c r="F413" i="1" s="1"/>
  <c r="E413" i="1" l="1"/>
  <c r="H413" i="1"/>
  <c r="G413" i="1"/>
  <c r="C414" i="1" s="1"/>
  <c r="D414" i="1" l="1"/>
  <c r="F414" i="1" s="1"/>
  <c r="K414" i="1"/>
  <c r="E414" i="1" l="1"/>
  <c r="H414" i="1"/>
  <c r="G414" i="1" l="1"/>
  <c r="C415" i="1" s="1"/>
  <c r="K415" i="1" l="1"/>
  <c r="D415" i="1"/>
  <c r="F415" i="1" s="1"/>
  <c r="E415" i="1" l="1"/>
  <c r="H415" i="1"/>
  <c r="G415" i="1" l="1"/>
  <c r="C416" i="1" s="1"/>
  <c r="K416" i="1" l="1"/>
  <c r="D416" i="1"/>
  <c r="F416" i="1" s="1"/>
  <c r="J438" i="1"/>
  <c r="E416" i="1" l="1"/>
  <c r="H416" i="1"/>
  <c r="G416" i="1"/>
  <c r="C417" i="1" s="1"/>
  <c r="D417" i="1" l="1"/>
  <c r="F417" i="1" s="1"/>
  <c r="K417" i="1"/>
  <c r="E417" i="1" l="1"/>
  <c r="H417" i="1"/>
  <c r="G417" i="1"/>
  <c r="C418" i="1" s="1"/>
  <c r="D418" i="1" l="1"/>
  <c r="F418" i="1" s="1"/>
  <c r="K418" i="1"/>
  <c r="E418" i="1" l="1"/>
  <c r="H418" i="1"/>
  <c r="G418" i="1"/>
  <c r="C419" i="1" s="1"/>
  <c r="D419" i="1" l="1"/>
  <c r="F419" i="1" s="1"/>
  <c r="K419" i="1"/>
  <c r="E419" i="1" l="1"/>
  <c r="H419" i="1"/>
  <c r="G419" i="1"/>
  <c r="C420" i="1" s="1"/>
  <c r="K420" i="1" l="1"/>
  <c r="D420" i="1"/>
  <c r="F420" i="1" s="1"/>
  <c r="E420" i="1" l="1"/>
  <c r="H420" i="1"/>
  <c r="G420" i="1" l="1"/>
  <c r="C421" i="1" s="1"/>
  <c r="D421" i="1" l="1"/>
  <c r="F421" i="1" s="1"/>
  <c r="K421" i="1"/>
  <c r="E421" i="1" l="1"/>
  <c r="H421" i="1"/>
  <c r="G421" i="1" l="1"/>
  <c r="C422" i="1" s="1"/>
  <c r="D422" i="1" l="1"/>
  <c r="F422" i="1" s="1"/>
  <c r="K422" i="1"/>
  <c r="E422" i="1" l="1"/>
  <c r="H422" i="1"/>
  <c r="G422" i="1"/>
  <c r="C423" i="1" s="1"/>
  <c r="D423" i="1" l="1"/>
  <c r="F423" i="1" s="1"/>
  <c r="K423" i="1"/>
  <c r="E423" i="1" l="1"/>
  <c r="H423" i="1"/>
  <c r="G423" i="1"/>
  <c r="C424" i="1" s="1"/>
  <c r="D424" i="1" l="1"/>
  <c r="F424" i="1" s="1"/>
  <c r="K424" i="1"/>
  <c r="E424" i="1" l="1"/>
  <c r="H424" i="1"/>
  <c r="G424" i="1"/>
  <c r="C425" i="1" s="1"/>
  <c r="D425" i="1" l="1"/>
  <c r="F425" i="1" s="1"/>
  <c r="K425" i="1"/>
  <c r="E425" i="1" l="1"/>
  <c r="H425" i="1"/>
  <c r="G425" i="1"/>
  <c r="C426" i="1" s="1"/>
  <c r="K426" i="1" l="1"/>
  <c r="D426" i="1"/>
  <c r="F426" i="1" s="1"/>
  <c r="E426" i="1" l="1"/>
  <c r="H426" i="1"/>
  <c r="G426" i="1"/>
  <c r="C427" i="1" s="1"/>
  <c r="D427" i="1" l="1"/>
  <c r="F427" i="1" s="1"/>
  <c r="K427" i="1"/>
  <c r="E427" i="1" l="1"/>
  <c r="H427" i="1"/>
  <c r="G427" i="1" l="1"/>
  <c r="C428" i="1" s="1"/>
  <c r="D428" i="1" l="1"/>
  <c r="F428" i="1" s="1"/>
  <c r="K428" i="1"/>
  <c r="E428" i="1" l="1"/>
  <c r="H428" i="1"/>
  <c r="G428" i="1"/>
  <c r="C429" i="1" s="1"/>
  <c r="K429" i="1" l="1"/>
  <c r="D429" i="1"/>
  <c r="F429" i="1" s="1"/>
  <c r="E429" i="1" l="1"/>
  <c r="H429" i="1"/>
  <c r="G429" i="1"/>
  <c r="C430" i="1" s="1"/>
  <c r="K430" i="1" l="1"/>
  <c r="D430" i="1"/>
  <c r="F430" i="1" s="1"/>
  <c r="E430" i="1" l="1"/>
  <c r="H430" i="1"/>
  <c r="G430" i="1"/>
  <c r="C431" i="1" s="1"/>
  <c r="D431" i="1" l="1"/>
  <c r="F431" i="1" s="1"/>
  <c r="K431" i="1"/>
  <c r="E431" i="1" l="1"/>
  <c r="H431" i="1"/>
  <c r="G431" i="1"/>
  <c r="C432" i="1" s="1"/>
  <c r="D432" i="1" l="1"/>
  <c r="F432" i="1" s="1"/>
  <c r="K432" i="1"/>
  <c r="E432" i="1" l="1"/>
  <c r="H432" i="1"/>
  <c r="G432" i="1" l="1"/>
  <c r="C433" i="1" s="1"/>
  <c r="D433" i="1" l="1"/>
  <c r="F433" i="1" s="1"/>
  <c r="K433" i="1"/>
  <c r="E433" i="1" l="1"/>
  <c r="H433" i="1"/>
  <c r="G433" i="1"/>
  <c r="C434" i="1" s="1"/>
  <c r="K434" i="1" l="1"/>
  <c r="D434" i="1"/>
  <c r="F434" i="1" s="1"/>
  <c r="E434" i="1" l="1"/>
  <c r="H434" i="1"/>
  <c r="G434" i="1"/>
  <c r="C435" i="1" s="1"/>
  <c r="K435" i="1" l="1"/>
  <c r="D435" i="1"/>
  <c r="F435" i="1" s="1"/>
  <c r="E435" i="1" l="1"/>
  <c r="H435" i="1"/>
  <c r="G435" i="1"/>
  <c r="C436" i="1" s="1"/>
  <c r="D436" i="1" l="1"/>
  <c r="F436" i="1" s="1"/>
  <c r="K436" i="1"/>
  <c r="E436" i="1" l="1"/>
  <c r="H436" i="1"/>
  <c r="G436" i="1"/>
  <c r="C437" i="1" s="1"/>
  <c r="K437" i="1" l="1"/>
  <c r="D437" i="1"/>
  <c r="F437" i="1" s="1"/>
  <c r="E437" i="1" l="1"/>
  <c r="H437" i="1"/>
  <c r="G437" i="1"/>
  <c r="C438" i="1" s="1"/>
  <c r="K438" i="1" l="1"/>
  <c r="D438" i="1"/>
  <c r="F438" i="1" s="1"/>
  <c r="E438" i="1" l="1"/>
  <c r="H438" i="1"/>
  <c r="G438" i="1"/>
  <c r="C439" i="1" s="1"/>
  <c r="D439" i="1" l="1"/>
  <c r="F439" i="1" s="1"/>
  <c r="K439" i="1"/>
  <c r="E439" i="1" l="1"/>
  <c r="H439" i="1"/>
  <c r="G439" i="1" l="1"/>
  <c r="C440" i="1" s="1"/>
  <c r="D440" i="1" l="1"/>
  <c r="F440" i="1" s="1"/>
  <c r="K440" i="1"/>
  <c r="E440" i="1" l="1"/>
  <c r="H440" i="1"/>
  <c r="G440" i="1"/>
  <c r="C441" i="1" s="1"/>
  <c r="K441" i="1" l="1"/>
  <c r="D441" i="1"/>
  <c r="F441" i="1" s="1"/>
  <c r="E441" i="1" l="1"/>
  <c r="H441" i="1"/>
  <c r="G441" i="1"/>
  <c r="C442" i="1" s="1"/>
  <c r="K442" i="1" l="1"/>
  <c r="D442" i="1"/>
  <c r="F442" i="1" s="1"/>
  <c r="E442" i="1" l="1"/>
  <c r="H442" i="1"/>
  <c r="G442" i="1"/>
  <c r="C443" i="1" s="1"/>
  <c r="K443" i="1" l="1"/>
  <c r="D443" i="1"/>
  <c r="F443" i="1" s="1"/>
  <c r="E443" i="1" l="1"/>
  <c r="H443" i="1"/>
  <c r="G443" i="1"/>
  <c r="C444" i="1" s="1"/>
  <c r="K444" i="1" l="1"/>
  <c r="D444" i="1"/>
  <c r="F444" i="1" s="1"/>
  <c r="E444" i="1" l="1"/>
  <c r="H444" i="1"/>
  <c r="G444" i="1"/>
  <c r="C445" i="1" s="1"/>
  <c r="D445" i="1" l="1"/>
  <c r="F445" i="1" s="1"/>
  <c r="K445" i="1"/>
  <c r="E445" i="1" l="1"/>
  <c r="H445" i="1"/>
  <c r="G445" i="1" l="1"/>
  <c r="C446" i="1" s="1"/>
  <c r="K446" i="1" l="1"/>
  <c r="D446" i="1"/>
  <c r="F446" i="1" s="1"/>
  <c r="E446" i="1" l="1"/>
  <c r="H446" i="1"/>
  <c r="G446" i="1"/>
  <c r="C447" i="1" s="1"/>
  <c r="D447" i="1" l="1"/>
  <c r="F447" i="1" s="1"/>
  <c r="K447" i="1"/>
  <c r="E447" i="1" l="1"/>
  <c r="H447" i="1"/>
  <c r="G447" i="1"/>
  <c r="C448" i="1" s="1"/>
  <c r="D448" i="1" l="1"/>
  <c r="F448" i="1" s="1"/>
  <c r="K448" i="1"/>
  <c r="E448" i="1" l="1"/>
  <c r="H448" i="1"/>
  <c r="G448" i="1"/>
  <c r="C449" i="1" s="1"/>
  <c r="D449" i="1" l="1"/>
  <c r="F449" i="1" s="1"/>
  <c r="K449" i="1"/>
  <c r="E449" i="1" l="1"/>
  <c r="H449" i="1"/>
  <c r="G449" i="1" l="1"/>
  <c r="C450" i="1" s="1"/>
  <c r="D450" i="1" l="1"/>
  <c r="F450" i="1" s="1"/>
  <c r="K450" i="1"/>
  <c r="E450" i="1" l="1"/>
  <c r="H450" i="1"/>
  <c r="G450" i="1"/>
  <c r="C451" i="1" s="1"/>
  <c r="K451" i="1" l="1"/>
  <c r="D451" i="1"/>
  <c r="F451" i="1" s="1"/>
  <c r="E451" i="1" l="1"/>
  <c r="H451" i="1"/>
  <c r="G451" i="1"/>
  <c r="C452" i="1" s="1"/>
  <c r="D452" i="1" l="1"/>
  <c r="F452" i="1" s="1"/>
  <c r="K452" i="1"/>
  <c r="E452" i="1" l="1"/>
  <c r="H452" i="1"/>
  <c r="G452" i="1"/>
  <c r="C453" i="1" s="1"/>
  <c r="K453" i="1" l="1"/>
  <c r="D453" i="1"/>
  <c r="F453" i="1" s="1"/>
  <c r="E453" i="1" l="1"/>
  <c r="H453" i="1"/>
  <c r="G453" i="1"/>
  <c r="C454" i="1" s="1"/>
  <c r="D454" i="1" l="1"/>
  <c r="F454" i="1" s="1"/>
  <c r="K454" i="1"/>
  <c r="E454" i="1" l="1"/>
  <c r="H454" i="1"/>
  <c r="G454" i="1" l="1"/>
  <c r="C455" i="1" s="1"/>
  <c r="D455" i="1" l="1"/>
  <c r="F455" i="1" s="1"/>
  <c r="K455" i="1"/>
  <c r="E455" i="1" l="1"/>
  <c r="H455" i="1"/>
  <c r="G455" i="1"/>
  <c r="C456" i="1" s="1"/>
  <c r="D456" i="1" l="1"/>
  <c r="F456" i="1" s="1"/>
  <c r="K456" i="1"/>
  <c r="E456" i="1" l="1"/>
  <c r="H456" i="1"/>
  <c r="G456" i="1"/>
  <c r="C457" i="1" s="1"/>
  <c r="D457" i="1" l="1"/>
  <c r="F457" i="1" s="1"/>
  <c r="K457" i="1"/>
  <c r="E457" i="1" l="1"/>
  <c r="H457" i="1"/>
  <c r="G457" i="1"/>
  <c r="C458" i="1" s="1"/>
  <c r="D458" i="1" l="1"/>
  <c r="F458" i="1" s="1"/>
  <c r="K458" i="1"/>
  <c r="E458" i="1" l="1"/>
  <c r="H458" i="1"/>
  <c r="G458" i="1" l="1"/>
  <c r="C459" i="1" s="1"/>
  <c r="D459" i="1" l="1"/>
  <c r="F459" i="1" s="1"/>
  <c r="K459" i="1"/>
  <c r="E459" i="1" l="1"/>
  <c r="H459" i="1"/>
  <c r="G459" i="1"/>
  <c r="C460" i="1" s="1"/>
  <c r="D460" i="1" l="1"/>
  <c r="F460" i="1" s="1"/>
  <c r="K460" i="1"/>
  <c r="E460" i="1" l="1"/>
  <c r="H460" i="1"/>
  <c r="G460" i="1"/>
  <c r="C461" i="1" s="1"/>
  <c r="D461" i="1" l="1"/>
  <c r="F461" i="1" s="1"/>
  <c r="K461" i="1"/>
  <c r="E461" i="1" l="1"/>
  <c r="H461" i="1"/>
  <c r="G461" i="1"/>
  <c r="C462" i="1" s="1"/>
  <c r="D462" i="1" l="1"/>
  <c r="F462" i="1" s="1"/>
  <c r="K462" i="1"/>
  <c r="E462" i="1" l="1"/>
  <c r="H462" i="1"/>
  <c r="G462" i="1" l="1"/>
  <c r="C463" i="1" s="1"/>
  <c r="D463" i="1" l="1"/>
  <c r="F463" i="1" s="1"/>
  <c r="K463" i="1"/>
  <c r="E463" i="1" l="1"/>
  <c r="H463" i="1"/>
  <c r="G463" i="1"/>
  <c r="C464" i="1" s="1"/>
  <c r="D464" i="1" l="1"/>
  <c r="F464" i="1" s="1"/>
  <c r="K464" i="1"/>
  <c r="E464" i="1" l="1"/>
  <c r="H464" i="1"/>
  <c r="G464" i="1"/>
  <c r="C465" i="1" s="1"/>
  <c r="K465" i="1" l="1"/>
  <c r="D465" i="1"/>
  <c r="F465" i="1" s="1"/>
  <c r="E465" i="1" l="1"/>
  <c r="H465" i="1"/>
  <c r="G465" i="1"/>
  <c r="C466" i="1" s="1"/>
  <c r="D466" i="1" l="1"/>
  <c r="F466" i="1" s="1"/>
  <c r="K466" i="1"/>
  <c r="E466" i="1" l="1"/>
  <c r="H466" i="1"/>
  <c r="G466" i="1"/>
  <c r="C467" i="1" s="1"/>
  <c r="D467" i="1" l="1"/>
  <c r="F467" i="1" s="1"/>
  <c r="K467" i="1"/>
  <c r="E467" i="1" l="1"/>
  <c r="H467" i="1"/>
  <c r="G467" i="1"/>
  <c r="C468" i="1" s="1"/>
  <c r="D468" i="1" l="1"/>
  <c r="F468" i="1" s="1"/>
  <c r="K468" i="1"/>
  <c r="E468" i="1" l="1"/>
  <c r="H468" i="1"/>
  <c r="G468" i="1"/>
  <c r="C469" i="1" s="1"/>
  <c r="K469" i="1" l="1"/>
  <c r="D469" i="1"/>
  <c r="F469" i="1" s="1"/>
  <c r="E469" i="1" l="1"/>
  <c r="H469" i="1"/>
  <c r="G469" i="1"/>
  <c r="C470" i="1" s="1"/>
  <c r="D470" i="1" l="1"/>
  <c r="F470" i="1" s="1"/>
  <c r="K470" i="1"/>
  <c r="E470" i="1" l="1"/>
  <c r="H470" i="1"/>
  <c r="G470" i="1"/>
  <c r="C471" i="1" s="1"/>
  <c r="K471" i="1" l="1"/>
  <c r="D471" i="1"/>
  <c r="F471" i="1" s="1"/>
  <c r="E471" i="1" l="1"/>
  <c r="H471" i="1"/>
  <c r="G471" i="1" l="1"/>
  <c r="C472" i="1" s="1"/>
  <c r="D472" i="1" l="1"/>
  <c r="F472" i="1" s="1"/>
  <c r="K472" i="1"/>
  <c r="E472" i="1" l="1"/>
  <c r="H472" i="1"/>
  <c r="G472" i="1"/>
  <c r="C473" i="1" s="1"/>
  <c r="D473" i="1" l="1"/>
  <c r="F473" i="1" s="1"/>
  <c r="K473" i="1"/>
  <c r="E473" i="1" l="1"/>
  <c r="H473" i="1"/>
  <c r="G473" i="1" l="1"/>
  <c r="C474" i="1" s="1"/>
  <c r="D474" i="1" l="1"/>
  <c r="F474" i="1" s="1"/>
  <c r="K474" i="1"/>
  <c r="E474" i="1" l="1"/>
  <c r="H474" i="1"/>
  <c r="G474" i="1"/>
  <c r="C475" i="1" s="1"/>
  <c r="D475" i="1" l="1"/>
  <c r="F475" i="1" s="1"/>
  <c r="K475" i="1"/>
  <c r="E475" i="1" l="1"/>
  <c r="H475" i="1"/>
  <c r="G475" i="1"/>
  <c r="C476" i="1" s="1"/>
  <c r="K476" i="1" l="1"/>
  <c r="D476" i="1"/>
  <c r="F476" i="1" s="1"/>
  <c r="E476" i="1" l="1"/>
  <c r="H476" i="1"/>
  <c r="G476" i="1" l="1"/>
  <c r="C477" i="1" s="1"/>
  <c r="K477" i="1" l="1"/>
  <c r="D477" i="1"/>
  <c r="F477" i="1" s="1"/>
  <c r="E477" i="1" l="1"/>
  <c r="H477" i="1"/>
  <c r="G477" i="1" l="1"/>
  <c r="C478" i="1" s="1"/>
  <c r="D478" i="1" l="1"/>
  <c r="F478" i="1" s="1"/>
  <c r="K478" i="1"/>
  <c r="E478" i="1" l="1"/>
  <c r="H478" i="1"/>
  <c r="G478" i="1"/>
  <c r="C479" i="1" s="1"/>
  <c r="K479" i="1" l="1"/>
  <c r="D479" i="1"/>
  <c r="F479" i="1" s="1"/>
  <c r="E479" i="1" l="1"/>
  <c r="H479" i="1"/>
  <c r="G479" i="1"/>
  <c r="C480" i="1" s="1"/>
  <c r="D480" i="1" l="1"/>
  <c r="F480" i="1" s="1"/>
  <c r="K480" i="1"/>
  <c r="E480" i="1" l="1"/>
  <c r="H480" i="1"/>
  <c r="G480" i="1" l="1"/>
  <c r="C481" i="1" s="1"/>
  <c r="K481" i="1" l="1"/>
  <c r="D481" i="1"/>
  <c r="F481" i="1" s="1"/>
  <c r="E481" i="1" l="1"/>
  <c r="H481" i="1"/>
  <c r="G481" i="1" l="1"/>
  <c r="C482" i="1" s="1"/>
  <c r="D482" i="1" l="1"/>
  <c r="F482" i="1" s="1"/>
  <c r="K482" i="1"/>
  <c r="E482" i="1" l="1"/>
  <c r="H482" i="1"/>
  <c r="G482" i="1"/>
  <c r="C483" i="1" s="1"/>
  <c r="D483" i="1" l="1"/>
  <c r="F483" i="1" s="1"/>
  <c r="K483" i="1"/>
  <c r="E483" i="1" l="1"/>
  <c r="H483" i="1"/>
  <c r="G483" i="1"/>
  <c r="C484" i="1" s="1"/>
  <c r="D484" i="1" l="1"/>
  <c r="F484" i="1" s="1"/>
  <c r="K484" i="1"/>
  <c r="E484" i="1" l="1"/>
  <c r="H484" i="1"/>
  <c r="G484" i="1" l="1"/>
  <c r="C485" i="1" s="1"/>
  <c r="K485" i="1" l="1"/>
  <c r="D485" i="1"/>
  <c r="F485" i="1" s="1"/>
  <c r="E485" i="1" l="1"/>
  <c r="H485" i="1"/>
  <c r="G485" i="1" l="1"/>
  <c r="C486" i="1" s="1"/>
  <c r="D486" i="1" l="1"/>
  <c r="F486" i="1" s="1"/>
  <c r="K486" i="1"/>
  <c r="E486" i="1" l="1"/>
  <c r="H486" i="1"/>
  <c r="G486" i="1" l="1"/>
  <c r="C487" i="1" s="1"/>
  <c r="K487" i="1" l="1"/>
  <c r="D487" i="1"/>
  <c r="F487" i="1" s="1"/>
  <c r="E487" i="1" l="1"/>
  <c r="H487" i="1"/>
  <c r="G487" i="1"/>
  <c r="C488" i="1" s="1"/>
  <c r="K488" i="1" l="1"/>
  <c r="D488" i="1"/>
  <c r="F488" i="1" s="1"/>
  <c r="E488" i="1" l="1"/>
  <c r="H488" i="1"/>
  <c r="G488" i="1"/>
  <c r="C489" i="1" s="1"/>
  <c r="D489" i="1" l="1"/>
  <c r="F489" i="1" s="1"/>
  <c r="K489" i="1"/>
  <c r="E489" i="1" l="1"/>
  <c r="H489" i="1"/>
  <c r="G489" i="1"/>
  <c r="C490" i="1" s="1"/>
  <c r="K490" i="1" l="1"/>
  <c r="D490" i="1"/>
  <c r="F490" i="1" s="1"/>
  <c r="E490" i="1" l="1"/>
  <c r="H490" i="1"/>
  <c r="G490" i="1"/>
  <c r="C491" i="1" s="1"/>
  <c r="D491" i="1" l="1"/>
  <c r="F491" i="1" s="1"/>
  <c r="K491" i="1"/>
  <c r="E491" i="1" l="1"/>
  <c r="H491" i="1"/>
  <c r="G491" i="1"/>
  <c r="C492" i="1" s="1"/>
  <c r="D492" i="1" l="1"/>
  <c r="F492" i="1" s="1"/>
  <c r="K492" i="1"/>
  <c r="E492" i="1" l="1"/>
  <c r="H492" i="1"/>
  <c r="G492" i="1" l="1"/>
  <c r="C493" i="1" s="1"/>
  <c r="D493" i="1" l="1"/>
  <c r="F493" i="1" s="1"/>
  <c r="K493" i="1"/>
  <c r="E493" i="1" l="1"/>
  <c r="H493" i="1"/>
  <c r="G493" i="1" l="1"/>
  <c r="C494" i="1" s="1"/>
  <c r="K494" i="1" l="1"/>
  <c r="D494" i="1"/>
  <c r="F494" i="1" s="1"/>
  <c r="E494" i="1" l="1"/>
  <c r="H494" i="1"/>
  <c r="G494" i="1"/>
  <c r="C495" i="1" s="1"/>
  <c r="D495" i="1" l="1"/>
  <c r="F495" i="1" s="1"/>
  <c r="K495" i="1"/>
  <c r="E495" i="1" l="1"/>
  <c r="H495" i="1"/>
  <c r="G495" i="1" l="1"/>
  <c r="C496" i="1" s="1"/>
  <c r="D496" i="1" l="1"/>
  <c r="F496" i="1" s="1"/>
  <c r="K496" i="1"/>
  <c r="E496" i="1" l="1"/>
  <c r="H496" i="1"/>
  <c r="G496" i="1"/>
  <c r="C497" i="1" s="1"/>
  <c r="D497" i="1" l="1"/>
  <c r="F497" i="1" s="1"/>
  <c r="K497" i="1"/>
  <c r="E497" i="1" l="1"/>
  <c r="H497" i="1"/>
  <c r="G497" i="1"/>
  <c r="C498" i="1" s="1"/>
  <c r="K498" i="1" l="1"/>
  <c r="D498" i="1"/>
  <c r="F498" i="1" s="1"/>
  <c r="E498" i="1" l="1"/>
  <c r="H498" i="1"/>
  <c r="G498" i="1" l="1"/>
  <c r="C499" i="1" s="1"/>
  <c r="K499" i="1" l="1"/>
  <c r="D499" i="1"/>
  <c r="F499" i="1" s="1"/>
  <c r="E499" i="1" l="1"/>
  <c r="H499" i="1"/>
  <c r="G499" i="1" l="1"/>
  <c r="C500" i="1" s="1"/>
  <c r="K500" i="1" l="1"/>
  <c r="D500" i="1"/>
  <c r="F500" i="1" s="1"/>
  <c r="E500" i="1" l="1"/>
  <c r="H500" i="1"/>
  <c r="G500" i="1"/>
  <c r="C501" i="1" s="1"/>
  <c r="K501" i="1" l="1"/>
  <c r="D501" i="1"/>
  <c r="F501" i="1" s="1"/>
  <c r="E501" i="1" l="1"/>
  <c r="H501" i="1"/>
  <c r="G501" i="1"/>
  <c r="C502" i="1" s="1"/>
  <c r="D502" i="1" l="1"/>
  <c r="F502" i="1" s="1"/>
  <c r="K502" i="1"/>
  <c r="E502" i="1" l="1"/>
  <c r="H502" i="1"/>
  <c r="G502" i="1"/>
  <c r="C503" i="1" s="1"/>
  <c r="D503" i="1" l="1"/>
  <c r="F503" i="1" s="1"/>
  <c r="K503" i="1"/>
  <c r="E503" i="1" l="1"/>
  <c r="H503" i="1"/>
  <c r="G503" i="1"/>
  <c r="C504" i="1" s="1"/>
  <c r="K504" i="1" l="1"/>
  <c r="D504" i="1"/>
  <c r="F504" i="1" s="1"/>
  <c r="E504" i="1" l="1"/>
  <c r="H504" i="1"/>
  <c r="G504" i="1"/>
  <c r="C505" i="1" s="1"/>
  <c r="K505" i="1" l="1"/>
  <c r="D505" i="1"/>
  <c r="F505" i="1" s="1"/>
  <c r="E505" i="1" l="1"/>
  <c r="H505" i="1"/>
  <c r="G505" i="1"/>
  <c r="C506" i="1" s="1"/>
  <c r="D506" i="1" l="1"/>
  <c r="F506" i="1" s="1"/>
  <c r="K506" i="1"/>
  <c r="E506" i="1" l="1"/>
  <c r="H506" i="1"/>
  <c r="G506" i="1"/>
  <c r="C507" i="1" s="1"/>
  <c r="K507" i="1" l="1"/>
  <c r="D507" i="1"/>
  <c r="F507" i="1" s="1"/>
  <c r="E507" i="1" l="1"/>
  <c r="H507" i="1"/>
  <c r="G507" i="1"/>
  <c r="C508" i="1" s="1"/>
  <c r="K508" i="1" l="1"/>
  <c r="D508" i="1"/>
  <c r="F508" i="1" s="1"/>
  <c r="E508" i="1" l="1"/>
  <c r="H508" i="1"/>
  <c r="G508" i="1"/>
  <c r="C509" i="1" s="1"/>
  <c r="D509" i="1" l="1"/>
  <c r="F509" i="1" s="1"/>
  <c r="K509" i="1"/>
  <c r="E509" i="1" l="1"/>
  <c r="H509" i="1"/>
  <c r="G509" i="1"/>
  <c r="C510" i="1" s="1"/>
  <c r="K510" i="1" l="1"/>
  <c r="D510" i="1"/>
  <c r="F510" i="1" s="1"/>
  <c r="E510" i="1" l="1"/>
  <c r="H510" i="1"/>
  <c r="G510" i="1"/>
  <c r="C511" i="1" s="1"/>
  <c r="K511" i="1" l="1"/>
  <c r="D511" i="1"/>
  <c r="F511" i="1" s="1"/>
  <c r="E511" i="1" l="1"/>
  <c r="H511" i="1"/>
  <c r="G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<sst xmlns="http://schemas.openxmlformats.org/spreadsheetml/2006/main" count="33" uniqueCount="33">
  <si>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r>
      <t>h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//高さ</t>
    </r>
    <rPh sb="7" eb="8">
      <t>タカ</t>
    </rPh>
    <phoneticPr fontId="1"/>
  </si>
  <si>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</si>
  <si>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</si>
  <si>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</si>
  <si>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r>
      <t>r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//ミラーの半径</t>
    </r>
    <rPh sb="11" eb="13">
      <t>ハンケイ</t>
    </rPh>
    <phoneticPr fontId="1"/>
  </si>
  <si>
    <t>点Aのx座標p[mm]</t>
    <rPh sb="0" eb="1">
      <t>テン</t>
    </rPh>
    <rPh sb="4" eb="6">
      <t>ザヒョウ</t>
    </rPh>
    <phoneticPr fontId="1"/>
  </si>
  <si>
    <t>点Aのy座標q[mm]</t>
    <phoneticPr fontId="1"/>
  </si>
  <si>
    <t>n      //n回計算する</t>
    <rPh sb="10" eb="11">
      <t>カイ</t>
    </rPh>
    <rPh sb="11" eb="13">
      <t>ケイサン</t>
    </rPh>
    <phoneticPr fontId="1"/>
  </si>
  <si>
    <t>反射板の傾きc[度]</t>
    <rPh sb="0" eb="3">
      <t>ハンシャバン</t>
    </rPh>
    <rPh sb="4" eb="5">
      <t>カタム</t>
    </rPh>
    <rPh sb="8" eb="9">
      <t>ド</t>
    </rPh>
    <phoneticPr fontId="1"/>
  </si>
  <si>
    <t>距離d[mm]</t>
    <rPh sb="0" eb="2">
      <t>キョリ</t>
    </rPh>
    <phoneticPr fontId="1"/>
  </si>
  <si>
    <t>[mm] (pの初期値)</t>
    <rPh sb="8" eb="10">
      <t>ショキ</t>
    </rPh>
    <rPh sb="10" eb="11">
      <t>アタイ</t>
    </rPh>
    <phoneticPr fontId="1"/>
  </si>
  <si>
    <t>[mm] (qの初期値)</t>
    <rPh sb="8" eb="10">
      <t>ショキ</t>
    </rPh>
    <rPh sb="10" eb="11">
      <t>アタイ</t>
    </rPh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</si>
  <si>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</si>
  <si>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反射光の最大角</t>
    </r>
    <rPh sb="8" eb="11">
      <t>ハンシャコウ</t>
    </rPh>
    <rPh sb="12" eb="15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</si>
  <si>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//入射光の最大角</t>
    </r>
    <rPh sb="7" eb="10">
      <t>ニュウシャコウ</t>
    </rPh>
    <phoneticPr fontId="1"/>
  </si>
  <si>
    <t>反射光の角度a[度]</t>
    <rPh sb="0" eb="3">
      <t>ハンシャコウ</t>
    </rPh>
    <rPh sb="4" eb="6">
      <t>カクド</t>
    </rPh>
    <rPh sb="8" eb="9">
      <t>ド</t>
    </rPh>
    <phoneticPr fontId="1"/>
  </si>
  <si>
    <t>入射光の角度b[度]</t>
    <rPh sb="0" eb="3">
      <t>ニュウシャコウ</t>
    </rPh>
    <rPh sb="4" eb="6">
      <t>カクド</t>
    </rPh>
    <rPh sb="8" eb="9">
      <t>ド</t>
    </rPh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</si>
  <si>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</si>
  <si>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</si>
  <si>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コピー用</t>
    <rPh sb="3" eb="4">
      <t>ヨウ</t>
    </rPh>
    <phoneticPr fontId="1"/>
  </si>
  <si>
    <t>x[cm]</t>
    <phoneticPr fontId="1"/>
  </si>
  <si>
    <t>y[cm]</t>
    <phoneticPr fontId="1"/>
  </si>
  <si>
    <t>z[cm]</t>
    <phoneticPr fontId="1"/>
  </si>
  <si>
    <t>調整係数k</t>
    <rPh sb="0" eb="4">
      <t>チョウセイケイスウ</t>
    </rPh>
    <phoneticPr fontId="1"/>
  </si>
  <si>
    <t>aとbの関係</t>
    <rPh sb="4" eb="6">
      <t>カンケイ</t>
    </rPh>
    <phoneticPr fontId="1"/>
  </si>
  <si>
    <t>~</t>
    <phoneticPr fontId="1"/>
  </si>
  <si>
    <t>kの範囲 //min~max</t>
    <rPh sb="2" eb="4">
      <t>ハンイ</t>
    </rPh>
    <phoneticPr fontId="1"/>
  </si>
  <si>
    <r>
      <t>p</t>
    </r>
    <r>
      <rPr>
        <sz val="8"/>
        <color theme="1"/>
        <rFont val="游ゴシック"/>
        <family val="3"/>
        <charset val="128"/>
        <scheme val="minor"/>
      </rPr>
      <t>delta</t>
    </r>
    <r>
      <rPr>
        <sz val="11"/>
        <color theme="1"/>
        <rFont val="游ゴシック"/>
        <family val="3"/>
        <charset val="128"/>
        <scheme val="minor"/>
      </rPr>
      <t xml:space="preserve"> //精度</t>
    </r>
    <rPh sb="9" eb="11">
      <t>セイド</t>
    </rPh>
    <phoneticPr fontId="1"/>
  </si>
  <si>
    <t>[mm]</t>
    <phoneticPr fontId="1"/>
  </si>
  <si>
    <t>sin(a)//画面上の位置</t>
    <phoneticPr fontId="1"/>
  </si>
  <si>
    <t>//=IF(A12="",NA(),180-MEDIAN(90,180,180-MEDIAN(90,180,90+90*EXP(-0.58*B12))))</t>
    <phoneticPr fontId="1"/>
  </si>
  <si>
    <t>指数関数</t>
    <rPh sb="0" eb="4">
      <t>シスウカンスウ</t>
    </rPh>
    <phoneticPr fontId="1"/>
  </si>
  <si>
    <t>// =IF(A12="", NA(), 180-MEDIAN(90, 180, $F$4*D12^2 - ((90+$F$4*$B$4^2)/$B$4)*D12 + 180))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</si>
</sst>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23</c:v>
                </c:pt>
                <c:pt idx="1">
                  <c:v>22.9539078156313</c:v>
                </c:pt>
                <c:pt idx="2">
                  <c:v>22.907815631262501</c:v>
                </c:pt>
                <c:pt idx="3">
                  <c:v>22.861723446893802</c:v>
                </c:pt>
                <c:pt idx="4">
                  <c:v>22.815631262524999</c:v>
                </c:pt>
                <c:pt idx="5">
                  <c:v>22.769539078156299</c:v>
                </c:pt>
                <c:pt idx="6">
                  <c:v>22.7234468937876</c:v>
                </c:pt>
                <c:pt idx="7">
                  <c:v>22.6773547094188</c:v>
                </c:pt>
                <c:pt idx="8">
                  <c:v>22.631262525050101</c:v>
                </c:pt>
                <c:pt idx="9">
                  <c:v>22.585170340681401</c:v>
                </c:pt>
                <c:pt idx="10">
                  <c:v>22.539078156312598</c:v>
                </c:pt>
                <c:pt idx="11">
                  <c:v>22.492985971943899</c:v>
                </c:pt>
                <c:pt idx="12">
                  <c:v>22.4468937875751</c:v>
                </c:pt>
                <c:pt idx="13">
                  <c:v>22.4008016032064</c:v>
                </c:pt>
                <c:pt idx="14">
                  <c:v>22.3547094188377</c:v>
                </c:pt>
                <c:pt idx="15">
                  <c:v>22.308617234468901</c:v>
                </c:pt>
                <c:pt idx="16">
                  <c:v>22.262525050100201</c:v>
                </c:pt>
                <c:pt idx="17">
                  <c:v>22.216432865731498</c:v>
                </c:pt>
                <c:pt idx="18">
                  <c:v>22.170340681362699</c:v>
                </c:pt>
                <c:pt idx="19">
                  <c:v>22.124248496993999</c:v>
                </c:pt>
                <c:pt idx="20">
                  <c:v>22.0781563126253</c:v>
                </c:pt>
                <c:pt idx="21">
                  <c:v>22.032064128256501</c:v>
                </c:pt>
                <c:pt idx="22">
                  <c:v>21.985971943887801</c:v>
                </c:pt>
                <c:pt idx="23">
                  <c:v>21.939879759518998</c:v>
                </c:pt>
                <c:pt idx="24">
                  <c:v>21.893787575150299</c:v>
                </c:pt>
                <c:pt idx="25">
                  <c:v>21.847695390781599</c:v>
                </c:pt>
                <c:pt idx="26">
                  <c:v>21.8016032064128</c:v>
                </c:pt>
                <c:pt idx="27">
                  <c:v>21.7555110220441</c:v>
                </c:pt>
                <c:pt idx="28">
                  <c:v>21.7094188376754</c:v>
                </c:pt>
                <c:pt idx="29">
                  <c:v>21.663326653306601</c:v>
                </c:pt>
                <c:pt idx="30">
                  <c:v>21.617234468937902</c:v>
                </c:pt>
                <c:pt idx="31">
                  <c:v>21.571142284569099</c:v>
                </c:pt>
                <c:pt idx="32">
                  <c:v>21.525050100200399</c:v>
                </c:pt>
                <c:pt idx="33">
                  <c:v>21.4789579158317</c:v>
                </c:pt>
                <c:pt idx="34">
                  <c:v>21.432865731462901</c:v>
                </c:pt>
                <c:pt idx="35">
                  <c:v>21.386773547094201</c:v>
                </c:pt>
                <c:pt idx="36">
                  <c:v>21.340681362725501</c:v>
                </c:pt>
                <c:pt idx="37">
                  <c:v>21.294589178356699</c:v>
                </c:pt>
                <c:pt idx="38">
                  <c:v>21.248496993987999</c:v>
                </c:pt>
                <c:pt idx="39">
                  <c:v>21.2024048096192</c:v>
                </c:pt>
                <c:pt idx="40">
                  <c:v>21.1563126252505</c:v>
                </c:pt>
                <c:pt idx="41">
                  <c:v>21.1102204408818</c:v>
                </c:pt>
                <c:pt idx="42">
                  <c:v>21.064128256513001</c:v>
                </c:pt>
                <c:pt idx="43">
                  <c:v>21.018036072144302</c:v>
                </c:pt>
                <c:pt idx="44">
                  <c:v>20.971943887775598</c:v>
                </c:pt>
                <c:pt idx="45">
                  <c:v>20.925851703406799</c:v>
                </c:pt>
                <c:pt idx="46">
                  <c:v>20.8797595190381</c:v>
                </c:pt>
                <c:pt idx="47">
                  <c:v>20.8336673346693</c:v>
                </c:pt>
                <c:pt idx="48">
                  <c:v>20.787575150300601</c:v>
                </c:pt>
                <c:pt idx="49">
                  <c:v>20.741482965931901</c:v>
                </c:pt>
                <c:pt idx="50">
                  <c:v>20.695390781563098</c:v>
                </c:pt>
                <c:pt idx="51">
                  <c:v>20.649298597194399</c:v>
                </c:pt>
                <c:pt idx="52">
                  <c:v>20.603206412825699</c:v>
                </c:pt>
                <c:pt idx="53">
                  <c:v>20.5571142284569</c:v>
                </c:pt>
                <c:pt idx="54">
                  <c:v>20.5110220440882</c:v>
                </c:pt>
                <c:pt idx="55">
                  <c:v>20.464929859719401</c:v>
                </c:pt>
                <c:pt idx="56">
                  <c:v>20.418837675350701</c:v>
                </c:pt>
                <c:pt idx="57">
                  <c:v>20.372745490981998</c:v>
                </c:pt>
                <c:pt idx="58">
                  <c:v>20.326653306613199</c:v>
                </c:pt>
                <c:pt idx="59">
                  <c:v>20.280561122244499</c:v>
                </c:pt>
                <c:pt idx="60">
                  <c:v>20.2344689378758</c:v>
                </c:pt>
                <c:pt idx="61">
                  <c:v>20.188376753507001</c:v>
                </c:pt>
                <c:pt idx="62">
                  <c:v>20.142284569138301</c:v>
                </c:pt>
                <c:pt idx="63">
                  <c:v>20.096192384769498</c:v>
                </c:pt>
                <c:pt idx="64">
                  <c:v>20.050100200400799</c:v>
                </c:pt>
                <c:pt idx="65">
                  <c:v>20.004008016032099</c:v>
                </c:pt>
                <c:pt idx="66">
                  <c:v>19.9579158316633</c:v>
                </c:pt>
                <c:pt idx="67">
                  <c:v>19.9118236472946</c:v>
                </c:pt>
                <c:pt idx="68">
                  <c:v>19.865731462925901</c:v>
                </c:pt>
                <c:pt idx="69">
                  <c:v>19.819639278557101</c:v>
                </c:pt>
                <c:pt idx="70">
                  <c:v>19.773547094188402</c:v>
                </c:pt>
                <c:pt idx="71">
                  <c:v>19.727454909819599</c:v>
                </c:pt>
                <c:pt idx="72">
                  <c:v>19.681362725450899</c:v>
                </c:pt>
                <c:pt idx="73">
                  <c:v>19.6352705410822</c:v>
                </c:pt>
                <c:pt idx="74">
                  <c:v>19.589178356713401</c:v>
                </c:pt>
                <c:pt idx="75">
                  <c:v>19.543086172344701</c:v>
                </c:pt>
                <c:pt idx="76">
                  <c:v>19.496993987976001</c:v>
                </c:pt>
                <c:pt idx="77">
                  <c:v>19.450901803607199</c:v>
                </c:pt>
                <c:pt idx="78">
                  <c:v>19.404809619238499</c:v>
                </c:pt>
                <c:pt idx="79">
                  <c:v>19.3587174348697</c:v>
                </c:pt>
                <c:pt idx="80">
                  <c:v>19.312625250501</c:v>
                </c:pt>
                <c:pt idx="81">
                  <c:v>19.2665330661323</c:v>
                </c:pt>
                <c:pt idx="82">
                  <c:v>19.220440881763501</c:v>
                </c:pt>
                <c:pt idx="83">
                  <c:v>19.174348697394802</c:v>
                </c:pt>
                <c:pt idx="84">
                  <c:v>19.128256513026098</c:v>
                </c:pt>
                <c:pt idx="85">
                  <c:v>19.082164328657299</c:v>
                </c:pt>
                <c:pt idx="86">
                  <c:v>19.0360721442886</c:v>
                </c:pt>
                <c:pt idx="87">
                  <c:v>18.9899799599198</c:v>
                </c:pt>
                <c:pt idx="88">
                  <c:v>18.943887775551101</c:v>
                </c:pt>
                <c:pt idx="89">
                  <c:v>18.897795591182401</c:v>
                </c:pt>
                <c:pt idx="90">
                  <c:v>18.851703406813598</c:v>
                </c:pt>
                <c:pt idx="91">
                  <c:v>18.805611222444899</c:v>
                </c:pt>
                <c:pt idx="92">
                  <c:v>18.759519038076199</c:v>
                </c:pt>
                <c:pt idx="93">
                  <c:v>18.7134268537074</c:v>
                </c:pt>
                <c:pt idx="94">
                  <c:v>18.6673346693387</c:v>
                </c:pt>
                <c:pt idx="95">
                  <c:v>18.621242484969901</c:v>
                </c:pt>
                <c:pt idx="96">
                  <c:v>18.575150300601202</c:v>
                </c:pt>
                <c:pt idx="97">
                  <c:v>18.529058116232498</c:v>
                </c:pt>
                <c:pt idx="98">
                  <c:v>18.482965931863699</c:v>
                </c:pt>
                <c:pt idx="99">
                  <c:v>18.436873747495</c:v>
                </c:pt>
                <c:pt idx="100">
                  <c:v>18.3907815631263</c:v>
                </c:pt>
                <c:pt idx="101">
                  <c:v>18.344689378757501</c:v>
                </c:pt>
                <c:pt idx="102">
                  <c:v>18.298597194388801</c:v>
                </c:pt>
                <c:pt idx="103">
                  <c:v>18.252505010019998</c:v>
                </c:pt>
                <c:pt idx="104">
                  <c:v>18.206412825651299</c:v>
                </c:pt>
                <c:pt idx="105">
                  <c:v>18.160320641282599</c:v>
                </c:pt>
                <c:pt idx="106">
                  <c:v>18.1142284569138</c:v>
                </c:pt>
                <c:pt idx="107">
                  <c:v>18.0681362725451</c:v>
                </c:pt>
                <c:pt idx="108">
                  <c:v>18.022044088176401</c:v>
                </c:pt>
                <c:pt idx="109">
                  <c:v>17.975951903807601</c:v>
                </c:pt>
                <c:pt idx="110">
                  <c:v>17.929859719438898</c:v>
                </c:pt>
                <c:pt idx="111">
                  <c:v>17.883767535070099</c:v>
                </c:pt>
                <c:pt idx="112">
                  <c:v>17.837675350701399</c:v>
                </c:pt>
                <c:pt idx="113">
                  <c:v>17.7915831663327</c:v>
                </c:pt>
                <c:pt idx="114">
                  <c:v>17.745490981963901</c:v>
                </c:pt>
                <c:pt idx="115">
                  <c:v>17.699398797595201</c:v>
                </c:pt>
                <c:pt idx="116">
                  <c:v>17.653306613226501</c:v>
                </c:pt>
                <c:pt idx="117">
                  <c:v>17.607214428857699</c:v>
                </c:pt>
                <c:pt idx="118">
                  <c:v>17.561122244488999</c:v>
                </c:pt>
                <c:pt idx="119">
                  <c:v>17.5150300601202</c:v>
                </c:pt>
                <c:pt idx="120">
                  <c:v>17.4689378757515</c:v>
                </c:pt>
                <c:pt idx="121">
                  <c:v>17.4228456913828</c:v>
                </c:pt>
                <c:pt idx="122">
                  <c:v>17.376753507014001</c:v>
                </c:pt>
                <c:pt idx="123">
                  <c:v>17.330661322645302</c:v>
                </c:pt>
                <c:pt idx="124">
                  <c:v>17.284569138276598</c:v>
                </c:pt>
                <c:pt idx="125">
                  <c:v>17.238476953907799</c:v>
                </c:pt>
                <c:pt idx="126">
                  <c:v>17.1923847695391</c:v>
                </c:pt>
                <c:pt idx="127">
                  <c:v>17.146292585170301</c:v>
                </c:pt>
                <c:pt idx="128">
                  <c:v>17.100200400801601</c:v>
                </c:pt>
                <c:pt idx="129">
                  <c:v>17.054108216432901</c:v>
                </c:pt>
                <c:pt idx="130">
                  <c:v>17.008016032064099</c:v>
                </c:pt>
                <c:pt idx="131">
                  <c:v>16.961923847695399</c:v>
                </c:pt>
                <c:pt idx="132">
                  <c:v>16.915831663326699</c:v>
                </c:pt>
                <c:pt idx="133">
                  <c:v>16.8697394789579</c:v>
                </c:pt>
                <c:pt idx="134">
                  <c:v>16.8236472945892</c:v>
                </c:pt>
                <c:pt idx="135">
                  <c:v>16.777555110220401</c:v>
                </c:pt>
                <c:pt idx="136">
                  <c:v>16.731462925851702</c:v>
                </c:pt>
                <c:pt idx="137">
                  <c:v>16.685370741482998</c:v>
                </c:pt>
                <c:pt idx="138">
                  <c:v>16.639278557114199</c:v>
                </c:pt>
                <c:pt idx="139">
                  <c:v>16.5931863727455</c:v>
                </c:pt>
                <c:pt idx="140">
                  <c:v>16.5470941883768</c:v>
                </c:pt>
                <c:pt idx="141">
                  <c:v>16.501002004008001</c:v>
                </c:pt>
                <c:pt idx="142">
                  <c:v>16.454909819639301</c:v>
                </c:pt>
                <c:pt idx="143">
                  <c:v>16.408817635270498</c:v>
                </c:pt>
                <c:pt idx="144">
                  <c:v>16.362725450901799</c:v>
                </c:pt>
                <c:pt idx="145">
                  <c:v>16.316633266533099</c:v>
                </c:pt>
                <c:pt idx="146">
                  <c:v>16.2705410821643</c:v>
                </c:pt>
                <c:pt idx="147">
                  <c:v>16.2244488977956</c:v>
                </c:pt>
                <c:pt idx="148">
                  <c:v>16.178356713426901</c:v>
                </c:pt>
                <c:pt idx="149">
                  <c:v>16.132264529058101</c:v>
                </c:pt>
                <c:pt idx="150">
                  <c:v>16.086172344689398</c:v>
                </c:pt>
                <c:pt idx="151">
                  <c:v>16.040080160320599</c:v>
                </c:pt>
                <c:pt idx="152">
                  <c:v>15.993987975951899</c:v>
                </c:pt>
                <c:pt idx="153">
                  <c:v>15.9478957915832</c:v>
                </c:pt>
                <c:pt idx="154">
                  <c:v>15.901803607214401</c:v>
                </c:pt>
                <c:pt idx="155">
                  <c:v>15.855711422845699</c:v>
                </c:pt>
                <c:pt idx="156">
                  <c:v>15.809619238477</c:v>
                </c:pt>
                <c:pt idx="157">
                  <c:v>15.7635270541082</c:v>
                </c:pt>
                <c:pt idx="158">
                  <c:v>15.717434869739501</c:v>
                </c:pt>
                <c:pt idx="159">
                  <c:v>15.6713426853707</c:v>
                </c:pt>
                <c:pt idx="160">
                  <c:v>15.625250501002</c:v>
                </c:pt>
                <c:pt idx="161">
                  <c:v>15.579158316633301</c:v>
                </c:pt>
                <c:pt idx="162">
                  <c:v>15.5330661322645</c:v>
                </c:pt>
                <c:pt idx="163">
                  <c:v>15.4869739478958</c:v>
                </c:pt>
                <c:pt idx="164">
                  <c:v>15.4408817635271</c:v>
                </c:pt>
                <c:pt idx="165">
                  <c:v>15.394789579158299</c:v>
                </c:pt>
                <c:pt idx="166">
                  <c:v>15.3486973947896</c:v>
                </c:pt>
                <c:pt idx="167">
                  <c:v>15.302605210420801</c:v>
                </c:pt>
                <c:pt idx="168">
                  <c:v>15.256513026052099</c:v>
                </c:pt>
                <c:pt idx="169">
                  <c:v>15.210420841683399</c:v>
                </c:pt>
                <c:pt idx="170">
                  <c:v>15.1643286573146</c:v>
                </c:pt>
                <c:pt idx="171">
                  <c:v>15.118236472945901</c:v>
                </c:pt>
                <c:pt idx="172">
                  <c:v>15.072144288577199</c:v>
                </c:pt>
                <c:pt idx="173">
                  <c:v>15.0260521042084</c:v>
                </c:pt>
                <c:pt idx="174">
                  <c:v>14.9799599198397</c:v>
                </c:pt>
                <c:pt idx="175">
                  <c:v>14.9338677354709</c:v>
                </c:pt>
                <c:pt idx="176">
                  <c:v>14.8877755511022</c:v>
                </c:pt>
                <c:pt idx="177">
                  <c:v>14.8416833667335</c:v>
                </c:pt>
                <c:pt idx="178">
                  <c:v>14.795591182364699</c:v>
                </c:pt>
                <c:pt idx="179">
                  <c:v>14.749498997996</c:v>
                </c:pt>
                <c:pt idx="180">
                  <c:v>14.7034068136273</c:v>
                </c:pt>
                <c:pt idx="181">
                  <c:v>14.657314629258501</c:v>
                </c:pt>
                <c:pt idx="182">
                  <c:v>14.611222444889799</c:v>
                </c:pt>
                <c:pt idx="183">
                  <c:v>14.565130260521</c:v>
                </c:pt>
                <c:pt idx="184">
                  <c:v>14.519038076152301</c:v>
                </c:pt>
                <c:pt idx="185">
                  <c:v>14.472945891783599</c:v>
                </c:pt>
                <c:pt idx="186">
                  <c:v>14.4268537074148</c:v>
                </c:pt>
                <c:pt idx="187">
                  <c:v>14.3807615230461</c:v>
                </c:pt>
                <c:pt idx="188">
                  <c:v>14.334669338677401</c:v>
                </c:pt>
                <c:pt idx="189">
                  <c:v>14.2885771543086</c:v>
                </c:pt>
                <c:pt idx="190">
                  <c:v>14.2424849699399</c:v>
                </c:pt>
                <c:pt idx="191">
                  <c:v>14.196392785571099</c:v>
                </c:pt>
                <c:pt idx="192">
                  <c:v>14.1503006012024</c:v>
                </c:pt>
                <c:pt idx="193">
                  <c:v>14.1042084168337</c:v>
                </c:pt>
                <c:pt idx="194">
                  <c:v>14.058116232464901</c:v>
                </c:pt>
                <c:pt idx="195">
                  <c:v>14.012024048096199</c:v>
                </c:pt>
                <c:pt idx="196">
                  <c:v>13.9659318637275</c:v>
                </c:pt>
                <c:pt idx="197">
                  <c:v>13.9198396793587</c:v>
                </c:pt>
                <c:pt idx="198">
                  <c:v>13.873747494990001</c:v>
                </c:pt>
                <c:pt idx="199">
                  <c:v>13.8276553106212</c:v>
                </c:pt>
                <c:pt idx="200">
                  <c:v>13.7815631262525</c:v>
                </c:pt>
                <c:pt idx="201">
                  <c:v>13.735470941883801</c:v>
                </c:pt>
                <c:pt idx="202">
                  <c:v>13.689378757515</c:v>
                </c:pt>
                <c:pt idx="203">
                  <c:v>13.6432865731463</c:v>
                </c:pt>
                <c:pt idx="204">
                  <c:v>13.5971943887776</c:v>
                </c:pt>
                <c:pt idx="205">
                  <c:v>13.551102204408799</c:v>
                </c:pt>
                <c:pt idx="206">
                  <c:v>13.5050100200401</c:v>
                </c:pt>
                <c:pt idx="207">
                  <c:v>13.458917835671301</c:v>
                </c:pt>
                <c:pt idx="208">
                  <c:v>13.412825651302599</c:v>
                </c:pt>
                <c:pt idx="209">
                  <c:v>13.3667334669339</c:v>
                </c:pt>
                <c:pt idx="210">
                  <c:v>13.3206412825651</c:v>
                </c:pt>
                <c:pt idx="211">
                  <c:v>13.274549098196401</c:v>
                </c:pt>
                <c:pt idx="212">
                  <c:v>13.228456913827699</c:v>
                </c:pt>
                <c:pt idx="213">
                  <c:v>13.1823647294589</c:v>
                </c:pt>
                <c:pt idx="214">
                  <c:v>13.1362725450902</c:v>
                </c:pt>
                <c:pt idx="215">
                  <c:v>13.0901803607214</c:v>
                </c:pt>
                <c:pt idx="216">
                  <c:v>13.0440881763527</c:v>
                </c:pt>
                <c:pt idx="217">
                  <c:v>12.997995991984</c:v>
                </c:pt>
                <c:pt idx="218">
                  <c:v>12.951903807615199</c:v>
                </c:pt>
                <c:pt idx="219">
                  <c:v>12.9058116232465</c:v>
                </c:pt>
                <c:pt idx="220">
                  <c:v>12.8597194388778</c:v>
                </c:pt>
                <c:pt idx="221">
                  <c:v>12.813627254509001</c:v>
                </c:pt>
                <c:pt idx="222">
                  <c:v>12.767535070140299</c:v>
                </c:pt>
                <c:pt idx="223">
                  <c:v>12.7214428857715</c:v>
                </c:pt>
                <c:pt idx="224">
                  <c:v>12.675350701402801</c:v>
                </c:pt>
                <c:pt idx="225">
                  <c:v>12.629258517034099</c:v>
                </c:pt>
                <c:pt idx="226">
                  <c:v>12.5831663326653</c:v>
                </c:pt>
                <c:pt idx="227">
                  <c:v>12.5370741482966</c:v>
                </c:pt>
                <c:pt idx="228">
                  <c:v>12.490981963927901</c:v>
                </c:pt>
                <c:pt idx="229">
                  <c:v>12.4448897795591</c:v>
                </c:pt>
                <c:pt idx="230">
                  <c:v>12.3987975951904</c:v>
                </c:pt>
                <c:pt idx="231">
                  <c:v>12.352705410821599</c:v>
                </c:pt>
                <c:pt idx="232">
                  <c:v>12.3066132264529</c:v>
                </c:pt>
                <c:pt idx="233">
                  <c:v>12.2605210420842</c:v>
                </c:pt>
                <c:pt idx="234">
                  <c:v>12.214428857715401</c:v>
                </c:pt>
                <c:pt idx="235">
                  <c:v>12.168336673346699</c:v>
                </c:pt>
                <c:pt idx="236">
                  <c:v>12.122244488978</c:v>
                </c:pt>
                <c:pt idx="237">
                  <c:v>12.076152304609201</c:v>
                </c:pt>
                <c:pt idx="238">
                  <c:v>12.030060120240501</c:v>
                </c:pt>
                <c:pt idx="239">
                  <c:v>11.9839679358717</c:v>
                </c:pt>
                <c:pt idx="240">
                  <c:v>11.937875751503</c:v>
                </c:pt>
                <c:pt idx="241">
                  <c:v>11.891783567134301</c:v>
                </c:pt>
                <c:pt idx="242">
                  <c:v>11.8456913827655</c:v>
                </c:pt>
                <c:pt idx="243">
                  <c:v>11.7995991983968</c:v>
                </c:pt>
                <c:pt idx="244">
                  <c:v>11.7535070140281</c:v>
                </c:pt>
                <c:pt idx="245">
                  <c:v>11.707414829659299</c:v>
                </c:pt>
                <c:pt idx="246">
                  <c:v>11.6613226452906</c:v>
                </c:pt>
                <c:pt idx="247">
                  <c:v>11.615230460921801</c:v>
                </c:pt>
                <c:pt idx="248">
                  <c:v>11.569138276553099</c:v>
                </c:pt>
                <c:pt idx="249">
                  <c:v>11.5230460921844</c:v>
                </c:pt>
                <c:pt idx="250">
                  <c:v>11.4769539078156</c:v>
                </c:pt>
                <c:pt idx="251">
                  <c:v>11.430861723446901</c:v>
                </c:pt>
                <c:pt idx="252">
                  <c:v>11.384769539078199</c:v>
                </c:pt>
                <c:pt idx="253">
                  <c:v>11.3386773547094</c:v>
                </c:pt>
                <c:pt idx="254">
                  <c:v>11.292585170340701</c:v>
                </c:pt>
                <c:pt idx="255">
                  <c:v>11.2464929859719</c:v>
                </c:pt>
                <c:pt idx="256">
                  <c:v>11.2004008016032</c:v>
                </c:pt>
                <c:pt idx="257">
                  <c:v>11.1543086172345</c:v>
                </c:pt>
                <c:pt idx="258">
                  <c:v>11.108216432865699</c:v>
                </c:pt>
                <c:pt idx="259">
                  <c:v>11.062124248497</c:v>
                </c:pt>
                <c:pt idx="260">
                  <c:v>11.0160320641283</c:v>
                </c:pt>
                <c:pt idx="261">
                  <c:v>10.969939879759499</c:v>
                </c:pt>
                <c:pt idx="262">
                  <c:v>10.923847695390799</c:v>
                </c:pt>
                <c:pt idx="263">
                  <c:v>10.877755511022</c:v>
                </c:pt>
                <c:pt idx="264">
                  <c:v>10.831663326653301</c:v>
                </c:pt>
                <c:pt idx="265">
                  <c:v>10.785571142284599</c:v>
                </c:pt>
                <c:pt idx="266">
                  <c:v>10.7394789579158</c:v>
                </c:pt>
                <c:pt idx="267">
                  <c:v>10.6933867735471</c:v>
                </c:pt>
                <c:pt idx="268">
                  <c:v>10.647294589178401</c:v>
                </c:pt>
                <c:pt idx="269">
                  <c:v>10.6012024048096</c:v>
                </c:pt>
                <c:pt idx="270">
                  <c:v>10.5551102204409</c:v>
                </c:pt>
                <c:pt idx="271">
                  <c:v>10.509018036072099</c:v>
                </c:pt>
                <c:pt idx="272">
                  <c:v>10.4629258517034</c:v>
                </c:pt>
                <c:pt idx="273">
                  <c:v>10.4168336673347</c:v>
                </c:pt>
                <c:pt idx="274">
                  <c:v>10.370741482965901</c:v>
                </c:pt>
                <c:pt idx="275">
                  <c:v>10.324649298597199</c:v>
                </c:pt>
                <c:pt idx="276">
                  <c:v>10.2785571142285</c:v>
                </c:pt>
                <c:pt idx="277">
                  <c:v>10.232464929859701</c:v>
                </c:pt>
                <c:pt idx="278">
                  <c:v>10.186372745490999</c:v>
                </c:pt>
                <c:pt idx="279">
                  <c:v>10.1402805611222</c:v>
                </c:pt>
                <c:pt idx="280">
                  <c:v>10.0941883767535</c:v>
                </c:pt>
                <c:pt idx="281">
                  <c:v>10.048096192384801</c:v>
                </c:pt>
                <c:pt idx="282">
                  <c:v>10.002004008016</c:v>
                </c:pt>
                <c:pt idx="283">
                  <c:v>9.9559118236472894</c:v>
                </c:pt>
                <c:pt idx="284">
                  <c:v>9.9098196392785596</c:v>
                </c:pt>
                <c:pt idx="285">
                  <c:v>9.8637274549098208</c:v>
                </c:pt>
                <c:pt idx="286">
                  <c:v>9.8176352705410803</c:v>
                </c:pt>
                <c:pt idx="287">
                  <c:v>9.7715430861723398</c:v>
                </c:pt>
                <c:pt idx="288">
                  <c:v>9.7254509018036099</c:v>
                </c:pt>
                <c:pt idx="289">
                  <c:v>9.6793587174348694</c:v>
                </c:pt>
                <c:pt idx="290">
                  <c:v>9.6332665330661307</c:v>
                </c:pt>
                <c:pt idx="291">
                  <c:v>9.5871743486973902</c:v>
                </c:pt>
                <c:pt idx="292">
                  <c:v>9.5410821643286603</c:v>
                </c:pt>
                <c:pt idx="293">
                  <c:v>9.4949899799599198</c:v>
                </c:pt>
                <c:pt idx="294">
                  <c:v>9.4488977955911793</c:v>
                </c:pt>
                <c:pt idx="295">
                  <c:v>9.4028056112224405</c:v>
                </c:pt>
                <c:pt idx="296">
                  <c:v>9.3567134268537107</c:v>
                </c:pt>
                <c:pt idx="297">
                  <c:v>9.3106212424849701</c:v>
                </c:pt>
                <c:pt idx="298">
                  <c:v>9.2645290581162296</c:v>
                </c:pt>
                <c:pt idx="299">
                  <c:v>9.2184368737474909</c:v>
                </c:pt>
                <c:pt idx="300">
                  <c:v>9.1723446893787592</c:v>
                </c:pt>
                <c:pt idx="301">
                  <c:v>9.1262525050100205</c:v>
                </c:pt>
                <c:pt idx="302">
                  <c:v>9.08016032064128</c:v>
                </c:pt>
                <c:pt idx="303">
                  <c:v>9.0340681362725395</c:v>
                </c:pt>
                <c:pt idx="304">
                  <c:v>8.9879759519038096</c:v>
                </c:pt>
                <c:pt idx="305">
                  <c:v>8.9418837675350709</c:v>
                </c:pt>
                <c:pt idx="306">
                  <c:v>8.8957915831663303</c:v>
                </c:pt>
                <c:pt idx="307">
                  <c:v>8.8496993987976005</c:v>
                </c:pt>
                <c:pt idx="308">
                  <c:v>8.80360721442886</c:v>
                </c:pt>
                <c:pt idx="309">
                  <c:v>8.7575150300601194</c:v>
                </c:pt>
                <c:pt idx="310">
                  <c:v>8.7114228456913807</c:v>
                </c:pt>
                <c:pt idx="311">
                  <c:v>8.6653306613226508</c:v>
                </c:pt>
                <c:pt idx="312">
                  <c:v>8.6192384769539103</c:v>
                </c:pt>
                <c:pt idx="313">
                  <c:v>8.5731462925851698</c:v>
                </c:pt>
                <c:pt idx="314">
                  <c:v>8.5270541082164293</c:v>
                </c:pt>
                <c:pt idx="315">
                  <c:v>8.4809619238476994</c:v>
                </c:pt>
                <c:pt idx="316">
                  <c:v>8.4348697394789607</c:v>
                </c:pt>
                <c:pt idx="317">
                  <c:v>8.3887775551102202</c:v>
                </c:pt>
                <c:pt idx="318">
                  <c:v>8.3426853707414796</c:v>
                </c:pt>
                <c:pt idx="319">
                  <c:v>8.2965931863727498</c:v>
                </c:pt>
                <c:pt idx="320">
                  <c:v>8.2505010020040093</c:v>
                </c:pt>
                <c:pt idx="321">
                  <c:v>8.2044088176352705</c:v>
                </c:pt>
                <c:pt idx="322">
                  <c:v>8.15831663326653</c:v>
                </c:pt>
                <c:pt idx="323">
                  <c:v>8.1122244488978001</c:v>
                </c:pt>
                <c:pt idx="324">
                  <c:v>8.0661322645290596</c:v>
                </c:pt>
                <c:pt idx="325">
                  <c:v>8.0200400801603209</c:v>
                </c:pt>
                <c:pt idx="326">
                  <c:v>7.9739478957915804</c:v>
                </c:pt>
                <c:pt idx="327">
                  <c:v>7.9278557114228496</c:v>
                </c:pt>
                <c:pt idx="328">
                  <c:v>7.88176352705411</c:v>
                </c:pt>
                <c:pt idx="329">
                  <c:v>7.8356713426853704</c:v>
                </c:pt>
                <c:pt idx="330">
                  <c:v>7.7895791583166298</c:v>
                </c:pt>
                <c:pt idx="331">
                  <c:v>7.7434869739479</c:v>
                </c:pt>
                <c:pt idx="332">
                  <c:v>7.6973947895791603</c:v>
                </c:pt>
                <c:pt idx="333">
                  <c:v>7.6513026052104198</c:v>
                </c:pt>
                <c:pt idx="334">
                  <c:v>7.6052104208416802</c:v>
                </c:pt>
                <c:pt idx="335">
                  <c:v>7.5591182364729503</c:v>
                </c:pt>
                <c:pt idx="336">
                  <c:v>7.5130260521042098</c:v>
                </c:pt>
                <c:pt idx="337">
                  <c:v>7.4669338677354702</c:v>
                </c:pt>
                <c:pt idx="338">
                  <c:v>7.4208416833667297</c:v>
                </c:pt>
                <c:pt idx="339">
                  <c:v>7.3747494989979998</c:v>
                </c:pt>
                <c:pt idx="340">
                  <c:v>7.3286573146292602</c:v>
                </c:pt>
                <c:pt idx="341">
                  <c:v>7.2825651302605197</c:v>
                </c:pt>
                <c:pt idx="342">
                  <c:v>7.23647294589178</c:v>
                </c:pt>
                <c:pt idx="343">
                  <c:v>7.1903807615230502</c:v>
                </c:pt>
                <c:pt idx="344">
                  <c:v>7.1442885771543096</c:v>
                </c:pt>
                <c:pt idx="345">
                  <c:v>7.09819639278557</c:v>
                </c:pt>
                <c:pt idx="346">
                  <c:v>7.0521042084168304</c:v>
                </c:pt>
                <c:pt idx="347">
                  <c:v>7.0060120240480996</c:v>
                </c:pt>
                <c:pt idx="348">
                  <c:v>6.95991983967936</c:v>
                </c:pt>
                <c:pt idx="349">
                  <c:v>6.9138276553106204</c:v>
                </c:pt>
                <c:pt idx="350">
                  <c:v>6.8677354709418799</c:v>
                </c:pt>
                <c:pt idx="351">
                  <c:v>6.82164328657315</c:v>
                </c:pt>
                <c:pt idx="352">
                  <c:v>6.7755511022044104</c:v>
                </c:pt>
                <c:pt idx="353">
                  <c:v>6.7294589178356699</c:v>
                </c:pt>
                <c:pt idx="354">
                  <c:v>6.6833667334669302</c:v>
                </c:pt>
                <c:pt idx="355">
                  <c:v>6.6372745490982004</c:v>
                </c:pt>
                <c:pt idx="356">
                  <c:v>6.5911823647294598</c:v>
                </c:pt>
                <c:pt idx="357">
                  <c:v>6.5450901803607202</c:v>
                </c:pt>
                <c:pt idx="358">
                  <c:v>6.4989979959919797</c:v>
                </c:pt>
                <c:pt idx="359">
                  <c:v>6.4529058116232498</c:v>
                </c:pt>
                <c:pt idx="360">
                  <c:v>6.4068136272545102</c:v>
                </c:pt>
                <c:pt idx="361">
                  <c:v>6.3607214428857697</c:v>
                </c:pt>
                <c:pt idx="362">
                  <c:v>6.3146292585170398</c:v>
                </c:pt>
                <c:pt idx="363">
                  <c:v>6.2685370741483002</c:v>
                </c:pt>
                <c:pt idx="364">
                  <c:v>6.2224448897795597</c:v>
                </c:pt>
                <c:pt idx="365">
                  <c:v>6.17635270541082</c:v>
                </c:pt>
                <c:pt idx="366">
                  <c:v>6.1302605210420804</c:v>
                </c:pt>
                <c:pt idx="367">
                  <c:v>6.0841683366733497</c:v>
                </c:pt>
                <c:pt idx="368">
                  <c:v>6.03807615230461</c:v>
                </c:pt>
                <c:pt idx="369">
                  <c:v>5.9919839679358704</c:v>
                </c:pt>
                <c:pt idx="370">
                  <c:v>5.9458917835671397</c:v>
                </c:pt>
                <c:pt idx="371">
                  <c:v>5.8997995991984</c:v>
                </c:pt>
                <c:pt idx="372">
                  <c:v>5.8537074148296604</c:v>
                </c:pt>
                <c:pt idx="373">
                  <c:v>5.8076152304609199</c:v>
                </c:pt>
                <c:pt idx="374">
                  <c:v>5.7615230460921802</c:v>
                </c:pt>
                <c:pt idx="375">
                  <c:v>5.7154308617234504</c:v>
                </c:pt>
                <c:pt idx="376">
                  <c:v>5.6693386773547099</c:v>
                </c:pt>
                <c:pt idx="377">
                  <c:v>5.6232464929859702</c:v>
                </c:pt>
                <c:pt idx="378">
                  <c:v>5.5771543086172404</c:v>
                </c:pt>
                <c:pt idx="379">
                  <c:v>5.5310621242484999</c:v>
                </c:pt>
                <c:pt idx="380">
                  <c:v>5.4849699398797602</c:v>
                </c:pt>
                <c:pt idx="381">
                  <c:v>5.4388777555110197</c:v>
                </c:pt>
                <c:pt idx="382">
                  <c:v>5.3927855711422801</c:v>
                </c:pt>
                <c:pt idx="383">
                  <c:v>5.3466933867735502</c:v>
                </c:pt>
                <c:pt idx="384">
                  <c:v>5.3006012024048097</c:v>
                </c:pt>
                <c:pt idx="385">
                  <c:v>5.2545090180360701</c:v>
                </c:pt>
                <c:pt idx="386">
                  <c:v>5.2084168336673304</c:v>
                </c:pt>
                <c:pt idx="387">
                  <c:v>5.1623246492985997</c:v>
                </c:pt>
                <c:pt idx="388">
                  <c:v>5.1162324649298601</c:v>
                </c:pt>
                <c:pt idx="389">
                  <c:v>5.0701402805611204</c:v>
                </c:pt>
                <c:pt idx="390">
                  <c:v>5.0240480961923799</c:v>
                </c:pt>
                <c:pt idx="391">
                  <c:v>4.97795591182365</c:v>
                </c:pt>
                <c:pt idx="392">
                  <c:v>4.9318637274549104</c:v>
                </c:pt>
                <c:pt idx="393">
                  <c:v>4.8857715430861699</c:v>
                </c:pt>
                <c:pt idx="394">
                  <c:v>4.8396793587174303</c:v>
                </c:pt>
                <c:pt idx="395">
                  <c:v>4.7935871743487004</c:v>
                </c:pt>
                <c:pt idx="396">
                  <c:v>4.7474949899799599</c:v>
                </c:pt>
                <c:pt idx="397">
                  <c:v>4.7014028056112203</c:v>
                </c:pt>
                <c:pt idx="398">
                  <c:v>4.6553106212424797</c:v>
                </c:pt>
                <c:pt idx="399">
                  <c:v>4.6092184368737499</c:v>
                </c:pt>
                <c:pt idx="400">
                  <c:v>4.5631262525050102</c:v>
                </c:pt>
                <c:pt idx="401">
                  <c:v>4.5170340681362697</c:v>
                </c:pt>
                <c:pt idx="402">
                  <c:v>4.4709418837675301</c:v>
                </c:pt>
                <c:pt idx="403">
                  <c:v>4.4248496993988002</c:v>
                </c:pt>
                <c:pt idx="404">
                  <c:v>4.3787575150300597</c:v>
                </c:pt>
                <c:pt idx="405">
                  <c:v>4.3326653306613201</c:v>
                </c:pt>
                <c:pt idx="406">
                  <c:v>4.2865731462925796</c:v>
                </c:pt>
                <c:pt idx="407">
                  <c:v>4.2404809619238497</c:v>
                </c:pt>
                <c:pt idx="408">
                  <c:v>4.1943887775551101</c:v>
                </c:pt>
                <c:pt idx="409">
                  <c:v>4.1482965931863696</c:v>
                </c:pt>
                <c:pt idx="410">
                  <c:v>4.1022044088176299</c:v>
                </c:pt>
                <c:pt idx="411">
                  <c:v>4.0561122244489001</c:v>
                </c:pt>
                <c:pt idx="412">
                  <c:v>4.0100200400801604</c:v>
                </c:pt>
                <c:pt idx="413">
                  <c:v>3.9639278557114199</c:v>
                </c:pt>
                <c:pt idx="414">
                  <c:v>3.9178356713426798</c:v>
                </c:pt>
                <c:pt idx="415">
                  <c:v>3.87174348697395</c:v>
                </c:pt>
                <c:pt idx="416">
                  <c:v>3.8256513026052099</c:v>
                </c:pt>
                <c:pt idx="417">
                  <c:v>3.7795591182364698</c:v>
                </c:pt>
                <c:pt idx="418">
                  <c:v>3.73346693386774</c:v>
                </c:pt>
                <c:pt idx="419">
                  <c:v>3.6873747494989999</c:v>
                </c:pt>
                <c:pt idx="420">
                  <c:v>3.6412825651302598</c:v>
                </c:pt>
                <c:pt idx="421">
                  <c:v>3.5951903807615202</c:v>
                </c:pt>
                <c:pt idx="422">
                  <c:v>3.5490981963927899</c:v>
                </c:pt>
                <c:pt idx="423">
                  <c:v>3.5030060120240498</c:v>
                </c:pt>
                <c:pt idx="424">
                  <c:v>3.4569138276553102</c:v>
                </c:pt>
                <c:pt idx="425">
                  <c:v>3.4108216432865701</c:v>
                </c:pt>
                <c:pt idx="426">
                  <c:v>3.3647294589178398</c:v>
                </c:pt>
                <c:pt idx="427">
                  <c:v>3.3186372745491002</c:v>
                </c:pt>
                <c:pt idx="428">
                  <c:v>3.2725450901803601</c:v>
                </c:pt>
                <c:pt idx="429">
                  <c:v>3.22645290581162</c:v>
                </c:pt>
                <c:pt idx="430">
                  <c:v>3.1803607214428902</c:v>
                </c:pt>
                <c:pt idx="431">
                  <c:v>3.1342685370741501</c:v>
                </c:pt>
                <c:pt idx="432">
                  <c:v>3.08817635270541</c:v>
                </c:pt>
                <c:pt idx="433">
                  <c:v>3.0420841683366699</c:v>
                </c:pt>
                <c:pt idx="434">
                  <c:v>2.9959919839679401</c:v>
                </c:pt>
                <c:pt idx="435">
                  <c:v>2.9498997995992</c:v>
                </c:pt>
                <c:pt idx="436">
                  <c:v>2.9038076152304599</c:v>
                </c:pt>
                <c:pt idx="437">
                  <c:v>2.8577154308617199</c:v>
                </c:pt>
                <c:pt idx="438">
                  <c:v>2.81162324649299</c:v>
                </c:pt>
                <c:pt idx="439">
                  <c:v>2.7655310621242499</c:v>
                </c:pt>
                <c:pt idx="440">
                  <c:v>2.7194388777555099</c:v>
                </c:pt>
                <c:pt idx="441">
                  <c:v>2.6733466933867698</c:v>
                </c:pt>
                <c:pt idx="442">
                  <c:v>2.6272545090180399</c:v>
                </c:pt>
                <c:pt idx="443">
                  <c:v>2.5811623246492998</c:v>
                </c:pt>
                <c:pt idx="444">
                  <c:v>2.5350701402805602</c:v>
                </c:pt>
                <c:pt idx="445">
                  <c:v>2.4889779559118201</c:v>
                </c:pt>
                <c:pt idx="446">
                  <c:v>2.4428857715430898</c:v>
                </c:pt>
                <c:pt idx="447">
                  <c:v>2.3967935871743502</c:v>
                </c:pt>
                <c:pt idx="448">
                  <c:v>2.3507014028056101</c:v>
                </c:pt>
                <c:pt idx="449">
                  <c:v>2.3046092184368701</c:v>
                </c:pt>
                <c:pt idx="450">
                  <c:v>2.2585170340681402</c:v>
                </c:pt>
                <c:pt idx="451">
                  <c:v>2.2124248496994001</c:v>
                </c:pt>
                <c:pt idx="452">
                  <c:v>2.16633266533066</c:v>
                </c:pt>
                <c:pt idx="453">
                  <c:v>2.12024048096192</c:v>
                </c:pt>
                <c:pt idx="454">
                  <c:v>2.0741482965931901</c:v>
                </c:pt>
                <c:pt idx="455">
                  <c:v>2.02805611222445</c:v>
                </c:pt>
                <c:pt idx="456">
                  <c:v>1.98196392785571</c:v>
                </c:pt>
                <c:pt idx="457">
                  <c:v>1.9358717434869701</c:v>
                </c:pt>
                <c:pt idx="458">
                  <c:v>1.88977955911824</c:v>
                </c:pt>
                <c:pt idx="459">
                  <c:v>1.8436873747495</c:v>
                </c:pt>
                <c:pt idx="460">
                  <c:v>1.7975951903807601</c:v>
                </c:pt>
                <c:pt idx="461">
                  <c:v>1.75150300601202</c:v>
                </c:pt>
                <c:pt idx="462">
                  <c:v>1.7054108216432899</c:v>
                </c:pt>
                <c:pt idx="463">
                  <c:v>1.6593186372745501</c:v>
                </c:pt>
                <c:pt idx="464">
                  <c:v>1.61322645290581</c:v>
                </c:pt>
                <c:pt idx="465">
                  <c:v>1.5671342685370699</c:v>
                </c:pt>
                <c:pt idx="466">
                  <c:v>1.5210420841683401</c:v>
                </c:pt>
                <c:pt idx="467">
                  <c:v>1.4749498997996</c:v>
                </c:pt>
                <c:pt idx="468">
                  <c:v>1.4288577154308599</c:v>
                </c:pt>
                <c:pt idx="469">
                  <c:v>1.3827655310621201</c:v>
                </c:pt>
                <c:pt idx="470">
                  <c:v>1.33667334669339</c:v>
                </c:pt>
                <c:pt idx="471">
                  <c:v>1.2905811623246499</c:v>
                </c:pt>
                <c:pt idx="472">
                  <c:v>1.2444889779559101</c:v>
                </c:pt>
                <c:pt idx="473">
                  <c:v>1.19839679358718</c:v>
                </c:pt>
                <c:pt idx="474">
                  <c:v>1.1523046092184399</c:v>
                </c:pt>
                <c:pt idx="475">
                  <c:v>1.1062124248497001</c:v>
                </c:pt>
                <c:pt idx="476">
                  <c:v>1.06012024048096</c:v>
                </c:pt>
                <c:pt idx="477">
                  <c:v>1.0140280561122299</c:v>
                </c:pt>
                <c:pt idx="478">
                  <c:v>0.96793587174348805</c:v>
                </c:pt>
                <c:pt idx="479">
                  <c:v>0.92184368737474998</c:v>
                </c:pt>
                <c:pt idx="480">
                  <c:v>0.87575150300601301</c:v>
                </c:pt>
                <c:pt idx="481">
                  <c:v>0.82965931863727505</c:v>
                </c:pt>
                <c:pt idx="482">
                  <c:v>0.78356713426853797</c:v>
                </c:pt>
                <c:pt idx="483">
                  <c:v>0.7374749498998</c:v>
                </c:pt>
                <c:pt idx="484">
                  <c:v>0.69138276553106304</c:v>
                </c:pt>
                <c:pt idx="485">
                  <c:v>0.64529058116232496</c:v>
                </c:pt>
                <c:pt idx="486">
                  <c:v>0.599198396793588</c:v>
                </c:pt>
                <c:pt idx="487">
                  <c:v>0.55310621242485003</c:v>
                </c:pt>
                <c:pt idx="488">
                  <c:v>0.50701402805611295</c:v>
                </c:pt>
                <c:pt idx="489">
                  <c:v>0.46092184368737499</c:v>
                </c:pt>
                <c:pt idx="490">
                  <c:v>0.41482965931863802</c:v>
                </c:pt>
                <c:pt idx="491">
                  <c:v>0.3687374749499</c:v>
                </c:pt>
                <c:pt idx="492">
                  <c:v>0.32264529058116298</c:v>
                </c:pt>
                <c:pt idx="493">
                  <c:v>0.27655310621242502</c:v>
                </c:pt>
                <c:pt idx="494">
                  <c:v>0.23046092184368799</c:v>
                </c:pt>
                <c:pt idx="495">
                  <c:v>0.18436873747495</c:v>
                </c:pt>
                <c:pt idx="496">
                  <c:v>0.13827655310621301</c:v>
                </c:pt>
                <c:pt idx="497">
                  <c:v>9.2184368737475E-2</c:v>
                </c:pt>
                <c:pt idx="498">
                  <c:v>4.60921843687375E-2</c:v>
                </c:pt>
                <c:pt idx="499">
                  <c:v>0</c:v>
                </c:pt>
              </c:numCache>
            </c:numRef>
          </c:xVal>
          <c:yVal>
            <c:numRef>
              <c:f>Main!$C$12:$C$511</c:f>
              <c:numCache>
                <c:formatCode>General</c:formatCode>
                <c:ptCount val="500"/>
                <c:pt idx="0">
                  <c:v>43.256708702965632</c:v>
                </c:pt>
                <c:pt idx="1">
                  <c:v>43.229013724533502</c:v>
                </c:pt>
                <c:pt idx="2">
                  <c:v>43.201301060836151</c:v>
                </c:pt>
                <c:pt idx="3">
                  <c:v>43.173570810342319</c:v>
                </c:pt>
                <c:pt idx="4">
                  <c:v>43.145823072138079</c:v>
                </c:pt>
                <c:pt idx="5">
                  <c:v>43.118057945931078</c:v>
                </c:pt>
                <c:pt idx="6">
                  <c:v>43.090275532054783</c:v>
                </c:pt>
                <c:pt idx="7">
                  <c:v>43.062475931472768</c:v>
                </c:pt>
                <c:pt idx="8">
                  <c:v>43.034659245783011</c:v>
                </c:pt>
                <c:pt idx="9">
                  <c:v>43.006825577222244</c:v>
                </c:pt>
                <c:pt idx="10">
                  <c:v>42.978975028670291</c:v>
                </c:pt>
                <c:pt idx="11">
                  <c:v>42.951107703654465</c:v>
                </c:pt>
                <c:pt idx="12">
                  <c:v>42.923223706353973</c:v>
                </c:pt>
                <c:pt idx="13">
                  <c:v>42.895323141604351</c:v>
                </c:pt>
                <c:pt idx="14">
                  <c:v>42.867406114901911</c:v>
                </c:pt>
                <c:pt idx="15">
                  <c:v>42.839472732408247</c:v>
                </c:pt>
                <c:pt idx="16">
                  <c:v>42.81152310095473</c:v>
                </c:pt>
                <c:pt idx="17">
                  <c:v>42.78355732804706</c:v>
                </c:pt>
                <c:pt idx="18">
                  <c:v>42.755575521869808</c:v>
                </c:pt>
                <c:pt idx="19">
                  <c:v>42.727577791291033</c:v>
                </c:pt>
                <c:pt idx="20">
                  <c:v>42.699564245866867</c:v>
                </c:pt>
                <c:pt idx="21">
                  <c:v>42.67153499584618</c:v>
                </c:pt>
                <c:pt idx="22">
                  <c:v>42.643490152175239</c:v>
                </c:pt>
                <c:pt idx="23">
                  <c:v>42.615429826502407</c:v>
                </c:pt>
                <c:pt idx="24">
                  <c:v>42.587354131182842</c:v>
                </c:pt>
                <c:pt idx="25">
                  <c:v>42.559263179283278</c:v>
                </c:pt>
                <c:pt idx="26">
                  <c:v>42.531157084586759</c:v>
                </c:pt>
                <c:pt idx="27">
                  <c:v>42.503035961597483</c:v>
                </c:pt>
                <c:pt idx="28">
                  <c:v>42.474899925545586</c:v>
                </c:pt>
                <c:pt idx="29">
                  <c:v>42.446749092392018</c:v>
                </c:pt>
                <c:pt idx="30">
                  <c:v>42.418583578833413</c:v>
                </c:pt>
                <c:pt idx="31">
                  <c:v>42.390403502307002</c:v>
                </c:pt>
                <c:pt idx="32">
                  <c:v>42.362208980995533</c:v>
                </c:pt>
                <c:pt idx="33">
                  <c:v>42.334000133832248</c:v>
                </c:pt>
                <c:pt idx="34">
                  <c:v>42.305777080505855</c:v>
                </c:pt>
                <c:pt idx="35">
                  <c:v>42.277539941465548</c:v>
                </c:pt>
                <c:pt idx="36">
                  <c:v>42.249288837926031</c:v>
                </c:pt>
                <c:pt idx="37">
                  <c:v>42.221023891872605</c:v>
                </c:pt>
                <c:pt idx="38">
                  <c:v>42.192745226066243</c:v>
                </c:pt>
                <c:pt idx="39">
                  <c:v>42.164452964048735</c:v>
                </c:pt>
                <c:pt idx="40">
                  <c:v>42.136147230147799</c:v>
                </c:pt>
                <c:pt idx="41">
                  <c:v>42.10782814948228</c:v>
                </c:pt>
                <c:pt idx="42">
                  <c:v>42.079495847967344</c:v>
                </c:pt>
                <c:pt idx="43">
                  <c:v>42.051150452319703</c:v>
                </c:pt>
                <c:pt idx="44">
                  <c:v>42.022792090062872</c:v>
                </c:pt>
                <c:pt idx="45">
                  <c:v>41.994420889532449</c:v>
                </c:pt>
                <c:pt idx="46">
                  <c:v>41.966036979881423</c:v>
                </c:pt>
                <c:pt idx="47">
                  <c:v>41.937640491085503</c:v>
                </c:pt>
                <c:pt idx="48">
                  <c:v>41.909231553948494</c:v>
                </c:pt>
                <c:pt idx="49">
                  <c:v>41.880810300107676</c:v>
                </c:pt>
                <c:pt idx="50">
                  <c:v>41.852376862039208</c:v>
                </c:pt>
                <c:pt idx="51">
                  <c:v>41.823931373063594</c:v>
                </c:pt>
                <c:pt idx="52">
                  <c:v>41.795473967351128</c:v>
                </c:pt>
                <c:pt idx="53">
                  <c:v>41.767004779927419</c:v>
                </c:pt>
                <c:pt idx="54">
                  <c:v>41.738523946678875</c:v>
                </c:pt>
                <c:pt idx="55">
                  <c:v>41.710031604358292</c:v>
                </c:pt>
                <c:pt idx="56">
                  <c:v>41.681527890590395</c:v>
                </c:pt>
                <c:pt idx="57">
                  <c:v>41.653012943877464</c:v>
                </c:pt>
                <c:pt idx="58">
                  <c:v>41.624486903604954</c:v>
                </c:pt>
                <c:pt idx="59">
                  <c:v>41.595949910047146</c:v>
                </c:pt>
                <c:pt idx="60">
                  <c:v>41.567402104372839</c:v>
                </c:pt>
                <c:pt idx="61">
                  <c:v>41.538843628651044</c:v>
                </c:pt>
                <c:pt idx="62">
                  <c:v>41.510274625856738</c:v>
                </c:pt>
                <c:pt idx="63">
                  <c:v>41.481695239876608</c:v>
                </c:pt>
                <c:pt idx="64">
                  <c:v>41.453105615514836</c:v>
                </c:pt>
                <c:pt idx="65">
                  <c:v>41.424505898498929</c:v>
                </c:pt>
                <c:pt idx="66">
                  <c:v>41.395896235485544</c:v>
                </c:pt>
                <c:pt idx="67">
                  <c:v>41.367276774066355</c:v>
                </c:pt>
                <c:pt idx="68">
                  <c:v>41.338647662773944</c:v>
                </c:pt>
                <c:pt idx="69">
                  <c:v>41.310009051087718</c:v>
                </c:pt>
                <c:pt idx="70">
                  <c:v>41.281361089439855</c:v>
                </c:pt>
                <c:pt idx="71">
                  <c:v>41.252703929221255</c:v>
                </c:pt>
                <c:pt idx="72">
                  <c:v>41.22403772278755</c:v>
                </c:pt>
                <c:pt idx="73">
                  <c:v>41.195362623465108</c:v>
                </c:pt>
                <c:pt idx="74">
                  <c:v>41.166678785557096</c:v>
                </c:pt>
                <c:pt idx="75">
                  <c:v>41.137986364349523</c:v>
                </c:pt>
                <c:pt idx="76">
                  <c:v>41.109285516117346</c:v>
                </c:pt>
                <c:pt idx="77">
                  <c:v>41.080576398130582</c:v>
                </c:pt>
                <c:pt idx="78">
                  <c:v>41.051859168660457</c:v>
                </c:pt>
                <c:pt idx="79">
                  <c:v>41.023133986985563</c:v>
                </c:pt>
                <c:pt idx="80">
                  <c:v>40.994401013398047</c:v>
                </c:pt>
                <c:pt idx="81">
                  <c:v>40.965660409209832</c:v>
                </c:pt>
                <c:pt idx="82">
                  <c:v>40.936912336758851</c:v>
                </c:pt>
                <c:pt idx="83">
                  <c:v>40.908156959415308</c:v>
                </c:pt>
                <c:pt idx="84">
                  <c:v>40.879394441587969</c:v>
                </c:pt>
                <c:pt idx="85">
                  <c:v>40.850624948730456</c:v>
                </c:pt>
                <c:pt idx="86">
                  <c:v>40.821848647347586</c:v>
                </c:pt>
                <c:pt idx="87">
                  <c:v>40.79306570500173</c:v>
                </c:pt>
                <c:pt idx="88">
                  <c:v>40.764276290319181</c:v>
                </c:pt>
                <c:pt idx="89">
                  <c:v>40.735480572996551</c:v>
                </c:pt>
                <c:pt idx="90">
                  <c:v>40.706678723807201</c:v>
                </c:pt>
                <c:pt idx="91">
                  <c:v>40.677870914607666</c:v>
                </c:pt>
                <c:pt idx="92">
                  <c:v>40.649057318344141</c:v>
                </c:pt>
                <c:pt idx="93">
                  <c:v>40.620238109058953</c:v>
                </c:pt>
                <c:pt idx="94">
                  <c:v>40.591413461897062</c:v>
                </c:pt>
                <c:pt idx="95">
                  <c:v>40.56258355311261</c:v>
                </c:pt>
                <c:pt idx="96">
                  <c:v>40.533748560075431</c:v>
                </c:pt>
                <c:pt idx="97">
                  <c:v>40.504908661277661</c:v>
                </c:pt>
                <c:pt idx="98">
                  <c:v>40.476064036340297</c:v>
                </c:pt>
                <c:pt idx="99">
                  <c:v>40.447214866019806</c:v>
                </c:pt>
                <c:pt idx="100">
                  <c:v>40.418361332214772</c:v>
                </c:pt>
                <c:pt idx="101">
                  <c:v>40.389503617972508</c:v>
                </c:pt>
                <c:pt idx="102">
                  <c:v>40.360641907495754</c:v>
                </c:pt>
                <c:pt idx="103">
                  <c:v>40.331776386149329</c:v>
                </c:pt>
                <c:pt idx="104">
                  <c:v>40.302907240466851</c:v>
                </c:pt>
                <c:pt idx="105">
                  <c:v>40.274034658157447</c:v>
                </c:pt>
                <c:pt idx="106">
                  <c:v>40.24515882811248</c:v>
                </c:pt>
                <c:pt idx="107">
                  <c:v>40.216279940412306</c:v>
                </c:pt>
                <c:pt idx="108">
                  <c:v>40.187398186333056</c:v>
                </c:pt>
                <c:pt idx="109">
                  <c:v>40.158513758353386</c:v>
                </c:pt>
                <c:pt idx="110">
                  <c:v>40.129626850161308</c:v>
                </c:pt>
                <c:pt idx="111">
                  <c:v>40.100737656660982</c:v>
                </c:pt>
                <c:pt idx="112">
                  <c:v>40.071846373979554</c:v>
                </c:pt>
                <c:pt idx="113">
                  <c:v>40.042953199473992</c:v>
                </c:pt>
                <c:pt idx="114">
                  <c:v>40.014058331737949</c:v>
                </c:pt>
                <c:pt idx="115">
                  <c:v>39.98516197060863</c:v>
                </c:pt>
                <c:pt idx="116">
                  <c:v>39.95626431717367</c:v>
                </c:pt>
                <c:pt idx="117">
                  <c:v>39.927365573778026</c:v>
                </c:pt>
                <c:pt idx="118">
                  <c:v>39.898465944030896</c:v>
                </c:pt>
                <c:pt idx="119">
                  <c:v>39.869565632812623</c:v>
                </c:pt>
                <c:pt idx="120">
                  <c:v>39.840664846281626</c:v>
                </c:pt>
                <c:pt idx="121">
                  <c:v>39.81176379188134</c:v>
                </c:pt>
                <c:pt idx="122">
                  <c:v>39.782862678347165</c:v>
                </c:pt>
                <c:pt idx="123">
                  <c:v>39.753961715713416</c:v>
                </c:pt>
                <c:pt idx="124">
                  <c:v>39.725061115320301</c:v>
                </c:pt>
                <c:pt idx="125">
                  <c:v>39.696161089820869</c:v>
                </c:pt>
                <c:pt idx="126">
                  <c:v>39.667261853188023</c:v>
                </c:pt>
                <c:pt idx="127">
                  <c:v>39.638363620721485</c:v>
                </c:pt>
                <c:pt idx="128">
                  <c:v>39.609466609054785</c:v>
                </c:pt>
                <c:pt idx="129">
                  <c:v>39.580571036162276</c:v>
                </c:pt>
                <c:pt idx="130">
                  <c:v>39.551677121366133</c:v>
                </c:pt>
                <c:pt idx="131">
                  <c:v>39.522785085343351</c:v>
                </c:pt>
                <c:pt idx="132">
                  <c:v>39.493895150132758</c:v>
                </c:pt>
                <c:pt idx="133">
                  <c:v>39.465007539142043</c:v>
                </c:pt>
                <c:pt idx="134">
                  <c:v>39.436122477154747</c:v>
                </c:pt>
                <c:pt idx="135">
                  <c:v>39.407240190337298</c:v>
                </c:pt>
                <c:pt idx="136">
                  <c:v>39.378360906246023</c:v>
                </c:pt>
                <c:pt idx="137">
                  <c:v>39.34948485383417</c:v>
                </c:pt>
                <c:pt idx="138">
                  <c:v>39.320612263458905</c:v>
                </c:pt>
                <c:pt idx="139">
                  <c:v>39.291743366888348</c:v>
                </c:pt>
                <c:pt idx="140">
                  <c:v>39.262878397308583</c:v>
                </c:pt>
                <c:pt idx="141">
                  <c:v>39.234017589330648</c:v>
                </c:pt>
                <c:pt idx="142">
                  <c:v>39.205161178997564</c:v>
                </c:pt>
                <c:pt idx="143">
                  <c:v>39.176309403791315</c:v>
                </c:pt>
                <c:pt idx="144">
                  <c:v>39.147462502639854</c:v>
                </c:pt>
                <c:pt idx="145">
                  <c:v>39.118620715924088</c:v>
                </c:pt>
                <c:pt idx="146">
                  <c:v>39.089784285484853</c:v>
                </c:pt>
                <c:pt idx="147">
                  <c:v>39.060953454629882</c:v>
                </c:pt>
                <c:pt idx="148">
                  <c:v>39.03212846814079</c:v>
                </c:pt>
                <c:pt idx="149">
                  <c:v>39.003309572279996</c:v>
                </c:pt>
                <c:pt idx="150">
                  <c:v>38.974497014797677</c:v>
                </c:pt>
                <c:pt idx="151">
                  <c:v>38.945691044938705</c:v>
                </c:pt>
                <c:pt idx="152">
                  <c:v>38.916891913449547</c:v>
                </c:pt>
                <c:pt idx="153">
                  <c:v>38.888099872585187</c:v>
                </c:pt>
                <c:pt idx="154">
                  <c:v>38.859315176115985</c:v>
                </c:pt>
                <c:pt idx="155">
                  <c:v>38.830538079334566</c:v>
                </c:pt>
                <c:pt idx="156">
                  <c:v>38.801768839062674</c:v>
                </c:pt>
                <c:pt idx="157">
                  <c:v>38.773007713658011</c:v>
                </c:pt>
                <c:pt idx="158">
                  <c:v>38.744254963021028</c:v>
                </c:pt>
                <c:pt idx="159">
                  <c:v>38.715510848601745</c:v>
                </c:pt>
                <c:pt idx="160">
                  <c:v>38.686775633406533</c:v>
                </c:pt>
                <c:pt idx="161">
                  <c:v>38.658049582004836</c:v>
                </c:pt>
                <c:pt idx="162">
                  <c:v>38.629332960535926</c:v>
                </c:pt>
                <c:pt idx="163">
                  <c:v>38.600626036715596</c:v>
                </c:pt>
                <c:pt idx="164">
                  <c:v>38.571929079842839</c:v>
                </c:pt>
                <c:pt idx="165">
                  <c:v>38.543242360806502</c:v>
                </c:pt>
                <c:pt idx="166">
                  <c:v>38.514566152091909</c:v>
                </c:pt>
                <c:pt idx="167">
                  <c:v>38.485900727787445</c:v>
                </c:pt>
                <c:pt idx="168">
                  <c:v>38.457246363591146</c:v>
                </c:pt>
                <c:pt idx="169">
                  <c:v>38.42860333681719</c:v>
                </c:pt>
                <c:pt idx="170">
                  <c:v>38.399971926402429</c:v>
                </c:pt>
                <c:pt idx="171">
                  <c:v>38.371352412912842</c:v>
                </c:pt>
                <c:pt idx="172">
                  <c:v>38.342745078549953</c:v>
                </c:pt>
                <c:pt idx="173">
                  <c:v>38.31415020715724</c:v>
                </c:pt>
                <c:pt idx="174">
                  <c:v>38.285568084226469</c:v>
                </c:pt>
                <c:pt idx="175">
                  <c:v>38.256998996904031</c:v>
                </c:pt>
                <c:pt idx="176">
                  <c:v>38.22844323399719</c:v>
                </c:pt>
                <c:pt idx="177">
                  <c:v>38.199901085980329</c:v>
                </c:pt>
                <c:pt idx="178">
                  <c:v>38.171372845001123</c:v>
                </c:pt>
                <c:pt idx="179">
                  <c:v>38.1428588048867</c:v>
                </c:pt>
                <c:pt idx="180">
                  <c:v>38.114359261149708</c:v>
                </c:pt>
                <c:pt idx="181">
                  <c:v>38.085874510994394</c:v>
                </c:pt>
                <c:pt idx="182">
                  <c:v>38.057404853322574</c:v>
                </c:pt>
                <c:pt idx="183">
                  <c:v>38.028950588739598</c:v>
                </c:pt>
                <c:pt idx="184">
                  <c:v>38.000512019560233</c:v>
                </c:pt>
                <c:pt idx="185">
                  <c:v>37.972089449814504</c:v>
                </c:pt>
                <c:pt idx="186">
                  <c:v>37.943683185253484</c:v>
                </c:pt>
                <c:pt idx="187">
                  <c:v>37.915293533355026</c:v>
                </c:pt>
                <c:pt idx="188">
                  <c:v>37.886920803329417</c:v>
                </c:pt>
                <c:pt idx="189">
                  <c:v>37.858565306125001</c:v>
                </c:pt>
                <c:pt idx="190">
                  <c:v>37.830227354433724</c:v>
                </c:pt>
                <c:pt idx="191">
                  <c:v>37.801907262696616</c:v>
                </c:pt>
                <c:pt idx="192">
                  <c:v>37.773605347109225</c:v>
                </c:pt>
                <c:pt idx="193">
                  <c:v>37.745321925626939</c:v>
                </c:pt>
                <c:pt idx="194">
                  <c:v>37.717057317970315</c:v>
                </c:pt>
                <c:pt idx="195">
                  <c:v>37.688811845630255</c:v>
                </c:pt>
                <c:pt idx="196">
                  <c:v>37.660585831873178</c:v>
                </c:pt>
                <c:pt idx="197">
                  <c:v>37.632379601746088</c:v>
                </c:pt>
                <c:pt idx="198">
                  <c:v>37.604193482081556</c:v>
                </c:pt>
                <c:pt idx="199">
                  <c:v>37.576027801502647</c:v>
                </c:pt>
                <c:pt idx="200">
                  <c:v>37.547882890427786</c:v>
                </c:pt>
                <c:pt idx="201">
                  <c:v>37.519759081075492</c:v>
                </c:pt>
                <c:pt idx="202">
                  <c:v>37.491656707469069</c:v>
                </c:pt>
                <c:pt idx="203">
                  <c:v>37.463576105441213</c:v>
                </c:pt>
                <c:pt idx="204">
                  <c:v>37.435517612638506</c:v>
                </c:pt>
                <c:pt idx="205">
                  <c:v>37.40748156852586</c:v>
                </c:pt>
                <c:pt idx="206">
                  <c:v>37.379468314390856</c:v>
                </c:pt>
                <c:pt idx="207">
                  <c:v>37.35147819334798</c:v>
                </c:pt>
                <c:pt idx="208">
                  <c:v>37.323511550342772</c:v>
                </c:pt>
                <c:pt idx="209">
                  <c:v>37.295568732155921</c:v>
                </c:pt>
                <c:pt idx="210">
                  <c:v>37.267650087407183</c:v>
                </c:pt>
                <c:pt idx="211">
                  <c:v>37.239755966559294</c:v>
                </c:pt>
                <c:pt idx="212">
                  <c:v>37.211886721921701</c:v>
                </c:pt>
                <c:pt idx="213">
                  <c:v>37.184042707654257</c:v>
                </c:pt>
                <c:pt idx="214">
                  <c:v>37.156224279770761</c:v>
                </c:pt>
                <c:pt idx="215">
                  <c:v>37.128431796142429</c:v>
                </c:pt>
                <c:pt idx="216">
                  <c:v>37.100665616501253</c:v>
                </c:pt>
                <c:pt idx="217">
                  <c:v>37.072926102443219</c:v>
                </c:pt>
                <c:pt idx="218">
                  <c:v>37.045213617431457</c:v>
                </c:pt>
                <c:pt idx="219">
                  <c:v>37.017528526799268</c:v>
                </c:pt>
                <c:pt idx="220">
                  <c:v>36.98987119775299</c:v>
                </c:pt>
                <c:pt idx="221">
                  <c:v>36.962241999374832</c:v>
                </c:pt>
                <c:pt idx="222">
                  <c:v>36.934641302625515</c:v>
                </c:pt>
                <c:pt idx="223">
                  <c:v>36.90706948034682</c:v>
                </c:pt>
                <c:pt idx="224">
                  <c:v>36.879526907264022</c:v>
                </c:pt>
                <c:pt idx="225">
                  <c:v>36.852013959988206</c:v>
                </c:pt>
                <c:pt idx="226">
                  <c:v>36.824531017018408</c:v>
                </c:pt>
                <c:pt idx="227">
                  <c:v>36.797078458743698</c:v>
                </c:pt>
                <c:pt idx="228">
                  <c:v>36.769656667445069</c:v>
                </c:pt>
                <c:pt idx="229">
                  <c:v>36.742266027297255</c:v>
                </c:pt>
                <c:pt idx="230">
                  <c:v>36.714906924370347</c:v>
                </c:pt>
                <c:pt idx="231">
                  <c:v>36.687579746631329</c:v>
                </c:pt>
                <c:pt idx="232">
                  <c:v>36.660284883945465</c:v>
                </c:pt>
                <c:pt idx="233">
                  <c:v>36.633022728077528</c:v>
                </c:pt>
                <c:pt idx="234">
                  <c:v>36.605793672692883</c:v>
                </c:pt>
                <c:pt idx="235">
                  <c:v>36.57859811335846</c:v>
                </c:pt>
                <c:pt idx="236">
                  <c:v>36.551436447543566</c:v>
                </c:pt>
                <c:pt idx="237">
                  <c:v>36.524309074620533</c:v>
                </c:pt>
                <c:pt idx="238">
                  <c:v>36.49721639586523</c:v>
                </c:pt>
                <c:pt idx="239">
                  <c:v>36.470158814457434</c:v>
                </c:pt>
                <c:pt idx="240">
                  <c:v>36.443136735481033</c:v>
                </c:pt>
                <c:pt idx="241">
                  <c:v>36.416150565924085</c:v>
                </c:pt>
                <c:pt idx="242">
                  <c:v>36.389200714678701</c:v>
                </c:pt>
                <c:pt idx="243">
                  <c:v>36.362287592540802</c:v>
                </c:pt>
                <c:pt idx="244">
                  <c:v>36.335411612209683</c:v>
                </c:pt>
                <c:pt idx="245">
                  <c:v>36.30857318828744</c:v>
                </c:pt>
                <c:pt idx="246">
                  <c:v>36.281772737278217</c:v>
                </c:pt>
                <c:pt idx="247">
                  <c:v>36.255010677587286</c:v>
                </c:pt>
                <c:pt idx="248">
                  <c:v>36.228287429519973</c:v>
                </c:pt>
                <c:pt idx="249">
                  <c:v>36.201603415280417</c:v>
                </c:pt>
                <c:pt idx="250">
                  <c:v>36.174959058970138</c:v>
                </c:pt>
                <c:pt idx="251">
                  <c:v>36.148354786586445</c:v>
                </c:pt>
                <c:pt idx="252">
                  <c:v>36.121791026020666</c:v>
                </c:pt>
                <c:pt idx="253">
                  <c:v>36.095268207056215</c:v>
                </c:pt>
                <c:pt idx="254">
                  <c:v>36.068786761366454</c:v>
                </c:pt>
                <c:pt idx="255">
                  <c:v>36.04234712251241</c:v>
                </c:pt>
                <c:pt idx="256">
                  <c:v>36.015949725940281</c:v>
                </c:pt>
                <c:pt idx="257">
                  <c:v>35.989595008978782</c:v>
                </c:pt>
                <c:pt idx="258">
                  <c:v>35.963283410836283</c:v>
                </c:pt>
                <c:pt idx="259">
                  <c:v>35.937015372597799</c:v>
                </c:pt>
                <c:pt idx="260">
                  <c:v>35.910791337221752</c:v>
                </c:pt>
                <c:pt idx="261">
                  <c:v>35.88461174953656</c:v>
                </c:pt>
                <c:pt idx="262">
                  <c:v>35.858477056237057</c:v>
                </c:pt>
                <c:pt idx="263">
                  <c:v>35.832387705880677</c:v>
                </c:pt>
                <c:pt idx="264">
                  <c:v>35.806344148883511</c:v>
                </c:pt>
                <c:pt idx="265">
                  <c:v>35.780346837516092</c:v>
                </c:pt>
                <c:pt idx="266">
                  <c:v>35.754396225899043</c:v>
                </c:pt>
                <c:pt idx="267">
                  <c:v>35.728492769998518</c:v>
                </c:pt>
                <c:pt idx="268">
                  <c:v>35.70263692762142</c:v>
                </c:pt>
                <c:pt idx="269">
                  <c:v>35.676829158410456</c:v>
                </c:pt>
                <c:pt idx="270">
                  <c:v>35.651069923838953</c:v>
                </c:pt>
                <c:pt idx="271">
                  <c:v>35.625359687205517</c:v>
                </c:pt>
                <c:pt idx="272">
                  <c:v>35.599698913628458</c:v>
                </c:pt>
                <c:pt idx="273">
                  <c:v>35.57408807004002</c:v>
                </c:pt>
                <c:pt idx="274">
                  <c:v>35.548527625180405</c:v>
                </c:pt>
                <c:pt idx="275">
                  <c:v>35.523018049591613</c:v>
                </c:pt>
                <c:pt idx="276">
                  <c:v>35.497559815611048</c:v>
                </c:pt>
                <c:pt idx="277">
                  <c:v>35.472153397364941</c:v>
                </c:pt>
                <c:pt idx="278">
                  <c:v>35.446799270761538</c:v>
                </c:pt>
                <c:pt idx="279">
                  <c:v>35.421497913484124</c:v>
                </c:pt>
                <c:pt idx="280">
                  <c:v>35.396249804983789</c:v>
                </c:pt>
                <c:pt idx="281">
                  <c:v>35.371055426472026</c:v>
                </c:pt>
                <c:pt idx="282">
                  <c:v>35.345915260913095</c:v>
                </c:pt>
                <c:pt idx="283">
                  <c:v>35.320829793016195</c:v>
                </c:pt>
                <c:pt idx="284">
                  <c:v>35.295799509227415</c:v>
                </c:pt>
                <c:pt idx="285">
                  <c:v>35.270824897721468</c:v>
                </c:pt>
                <c:pt idx="286">
                  <c:v>35.245906448393242</c:v>
                </c:pt>
                <c:pt idx="287">
                  <c:v>35.221044652849109</c:v>
                </c:pt>
                <c:pt idx="288">
                  <c:v>35.196240004398049</c:v>
                </c:pt>
                <c:pt idx="289">
                  <c:v>35.171492998042545</c:v>
                </c:pt>
                <c:pt idx="290">
                  <c:v>35.14680413046927</c:v>
                </c:pt>
                <c:pt idx="291">
                  <c:v>35.122173900039591</c:v>
                </c:pt>
                <c:pt idx="292">
                  <c:v>35.097602806779811</c:v>
                </c:pt>
                <c:pt idx="293">
                  <c:v>35.073091352371257</c:v>
                </c:pt>
                <c:pt idx="294">
                  <c:v>35.048640040140114</c:v>
                </c:pt>
                <c:pt idx="295">
                  <c:v>35.024249375047091</c:v>
                </c:pt>
                <c:pt idx="296">
                  <c:v>34.999919863676823</c:v>
                </c:pt>
                <c:pt idx="297">
                  <c:v>34.975652014227137</c:v>
                </c:pt>
                <c:pt idx="298">
                  <c:v>34.951446336498044</c:v>
                </c:pt>
                <c:pt idx="299">
                  <c:v>34.927303341880567</c:v>
                </c:pt>
                <c:pt idx="300">
                  <c:v>34.903223543345348</c:v>
                </c:pt>
                <c:pt idx="301">
                  <c:v>34.87920745543105</c:v>
                </c:pt>
                <c:pt idx="302">
                  <c:v>34.855255594232567</c:v>
                </c:pt>
                <c:pt idx="303">
                  <c:v>34.831368477389006</c:v>
                </c:pt>
                <c:pt idx="304">
                  <c:v>34.807546624071506</c:v>
                </c:pt>
                <c:pt idx="305">
                  <c:v>34.783790554970821</c:v>
                </c:pt>
                <c:pt idx="306">
                  <c:v>34.760100792284724</c:v>
                </c:pt>
                <c:pt idx="307">
                  <c:v>34.736477859705218</c:v>
                </c:pt>
                <c:pt idx="308">
                  <c:v>34.712922282405529</c:v>
                </c:pt>
                <c:pt idx="309">
                  <c:v>34.689434587026931</c:v>
                </c:pt>
                <c:pt idx="310">
                  <c:v>34.666015301665368</c:v>
                </c:pt>
                <c:pt idx="311">
                  <c:v>34.642664955857882</c:v>
                </c:pt>
                <c:pt idx="312">
                  <c:v>34.619384080568857</c:v>
                </c:pt>
                <c:pt idx="313">
                  <c:v>34.59617320817609</c:v>
                </c:pt>
                <c:pt idx="314">
                  <c:v>34.573032872456658</c:v>
                </c:pt>
                <c:pt idx="315">
                  <c:v>34.549963608572604</c:v>
                </c:pt>
                <c:pt idx="316">
                  <c:v>34.526965953056475</c:v>
                </c:pt>
                <c:pt idx="317">
                  <c:v>34.504040443796626</c:v>
                </c:pt>
                <c:pt idx="318">
                  <c:v>34.481187620022425</c:v>
                </c:pt>
                <c:pt idx="319">
                  <c:v>34.458408022289213</c:v>
                </c:pt>
                <c:pt idx="320">
                  <c:v>34.435702192463154</c:v>
                </c:pt>
                <c:pt idx="321">
                  <c:v>34.413070673705882</c:v>
                </c:pt>
                <c:pt idx="322">
                  <c:v>34.390514010458993</c:v>
                </c:pt>
                <c:pt idx="323">
                  <c:v>34.368032748428412</c:v>
                </c:pt>
                <c:pt idx="324">
                  <c:v>34.345627434568542</c:v>
                </c:pt>
                <c:pt idx="325">
                  <c:v>34.323298617066314</c:v>
                </c:pt>
                <c:pt idx="326">
                  <c:v>34.301046845325061</c:v>
                </c:pt>
                <c:pt idx="327">
                  <c:v>34.278872669948257</c:v>
                </c:pt>
                <c:pt idx="328">
                  <c:v>34.256776642723104</c:v>
                </c:pt>
                <c:pt idx="329">
                  <c:v>34.234759316603999</c:v>
                </c:pt>
                <c:pt idx="330">
                  <c:v>34.212821245695842</c:v>
                </c:pt>
                <c:pt idx="331">
                  <c:v>34.190962985237235</c:v>
                </c:pt>
                <c:pt idx="332">
                  <c:v>34.169185091583543</c:v>
                </c:pt>
                <c:pt idx="333">
                  <c:v>34.147488122189849</c:v>
                </c:pt>
                <c:pt idx="334">
                  <c:v>34.125872635593758</c:v>
                </c:pt>
                <c:pt idx="335">
                  <c:v>34.104339191398118</c:v>
                </c:pt>
                <c:pt idx="336">
                  <c:v>34.08288835025364</c:v>
                </c:pt>
                <c:pt idx="337">
                  <c:v>34.061520673841379</c:v>
                </c:pt>
                <c:pt idx="338">
                  <c:v>34.040236724855134</c:v>
                </c:pt>
                <c:pt idx="339">
                  <c:v>34.019037066983778</c:v>
                </c:pt>
                <c:pt idx="340">
                  <c:v>33.99792226489344</c:v>
                </c:pt>
                <c:pt idx="341">
                  <c:v>33.976892884209668</c:v>
                </c:pt>
                <c:pt idx="342">
                  <c:v>33.955949491499474</c:v>
                </c:pt>
                <c:pt idx="343">
                  <c:v>33.935092654253317</c:v>
                </c:pt>
                <c:pt idx="344">
                  <c:v>33.914322940867009</c:v>
                </c:pt>
                <c:pt idx="345">
                  <c:v>33.893640920623582</c:v>
                </c:pt>
                <c:pt idx="346">
                  <c:v>33.873047163675054</c:v>
                </c:pt>
                <c:pt idx="347">
                  <c:v>33.852542241024196</c:v>
                </c:pt>
                <c:pt idx="348">
                  <c:v>33.832126724506224</c:v>
                </c:pt>
                <c:pt idx="349">
                  <c:v>33.811801186770445</c:v>
                </c:pt>
                <c:pt idx="350">
                  <c:v>33.791566201261901</c:v>
                </c:pt>
                <c:pt idx="351">
                  <c:v>33.771422342202939</c:v>
                </c:pt>
                <c:pt idx="352">
                  <c:v>33.751370184574817</c:v>
                </c:pt>
                <c:pt idx="353">
                  <c:v>33.731410304099242</c:v>
                </c:pt>
                <c:pt idx="354">
                  <c:v>33.711543277219931</c:v>
                </c:pt>
                <c:pt idx="355">
                  <c:v>33.691769681084168</c:v>
                </c:pt>
                <c:pt idx="356">
                  <c:v>33.672090093524339</c:v>
                </c:pt>
                <c:pt idx="357">
                  <c:v>33.652505093039537</c:v>
                </c:pt>
                <c:pt idx="358">
                  <c:v>33.633015258777107</c:v>
                </c:pt>
                <c:pt idx="359">
                  <c:v>33.613621170514278</c:v>
                </c:pt>
                <c:pt idx="360">
                  <c:v>33.594323408639802</c:v>
                </c:pt>
                <c:pt idx="361">
                  <c:v>33.575122554135646</c:v>
                </c:pt>
                <c:pt idx="362">
                  <c:v>33.556019188558707</c:v>
                </c:pt>
                <c:pt idx="363">
                  <c:v>33.537013894022593</c:v>
                </c:pt>
                <c:pt idx="364">
                  <c:v>33.51810725317948</c:v>
                </c:pt>
                <c:pt idx="365">
                  <c:v>33.499299849202011</c:v>
                </c:pt>
                <c:pt idx="366">
                  <c:v>33.480592265765289</c:v>
                </c:pt>
                <c:pt idx="367">
                  <c:v>33.461985087028935</c:v>
                </c:pt>
                <c:pt idx="368">
                  <c:v>33.443478897619265</c:v>
                </c:pt>
                <c:pt idx="369">
                  <c:v>33.42507428261154</c:v>
                </c:pt>
                <c:pt idx="370">
                  <c:v>33.40677182751233</c:v>
                </c:pt>
                <c:pt idx="371">
                  <c:v>33.388572118241989</c:v>
                </c:pt>
                <c:pt idx="372">
                  <c:v>33.370475741117261</c:v>
                </c:pt>
                <c:pt idx="373">
                  <c:v>33.352483282834001</c:v>
                </c:pt>
                <c:pt idx="374">
                  <c:v>33.33459533045005</c:v>
                </c:pt>
                <c:pt idx="375">
                  <c:v>33.316812471368237</c:v>
                </c:pt>
                <c:pt idx="376">
                  <c:v>33.299135293319551</c:v>
                </c:pt>
                <c:pt idx="377">
                  <c:v>33.281564384346453</c:v>
                </c:pt>
                <c:pt idx="378">
                  <c:v>33.264100332786384</c:v>
                </c:pt>
                <c:pt idx="379">
                  <c:v>33.246743727255428</c:v>
                </c:pt>
                <c:pt idx="380">
                  <c:v>33.229495156632176</c:v>
                </c:pt>
                <c:pt idx="381">
                  <c:v>33.212355210041771</c:v>
                </c:pt>
                <c:pt idx="382">
                  <c:v>33.19532447684017</c:v>
                </c:pt>
                <c:pt idx="383">
                  <c:v>33.178403546598581</c:v>
                </c:pt>
                <c:pt idx="384">
                  <c:v>33.161593009088172</c:v>
                </c:pt>
                <c:pt idx="385">
                  <c:v>33.144893454264974</c:v>
                </c:pt>
                <c:pt idx="386">
                  <c:v>33.128305472255001</c:v>
                </c:pt>
                <c:pt idx="387">
                  <c:v>33.111829653339662</c:v>
                </c:pt>
                <c:pt idx="388">
                  <c:v>33.095466587941381</c:v>
                </c:pt>
                <c:pt idx="389">
                  <c:v>33.079216866609499</c:v>
                </c:pt>
                <c:pt idx="390">
                  <c:v>33.063081080006448</c:v>
                </c:pt>
                <c:pt idx="391">
                  <c:v>33.047059818894162</c:v>
                </c:pt>
                <c:pt idx="392">
                  <c:v>33.031153674120837</c:v>
                </c:pt>
                <c:pt idx="393">
                  <c:v>33.015363236607918</c:v>
                </c:pt>
                <c:pt idx="394">
                  <c:v>32.999689097337445</c:v>
                </c:pt>
                <c:pt idx="395">
                  <c:v>32.984131847339661</c:v>
                </c:pt>
                <c:pt idx="396">
                  <c:v>32.968692077680963</c:v>
                </c:pt>
                <c:pt idx="397">
                  <c:v>32.953370379452174</c:v>
                </c:pt>
                <c:pt idx="398">
                  <c:v>32.938167343757151</c:v>
                </c:pt>
                <c:pt idx="399">
                  <c:v>32.923083561701723</c:v>
                </c:pt>
                <c:pt idx="400">
                  <c:v>32.908119624382998</c:v>
                </c:pt>
                <c:pt idx="401">
                  <c:v>32.893276122879008</c:v>
                </c:pt>
                <c:pt idx="402">
                  <c:v>32.878553648238743</c:v>
                </c:pt>
                <c:pt idx="403">
                  <c:v>32.863952791472521</c:v>
                </c:pt>
                <c:pt idx="404">
                  <c:v>32.849474143542793</c:v>
                </c:pt>
                <c:pt idx="405">
                  <c:v>32.835118295355286</c:v>
                </c:pt>
                <c:pt idx="406">
                  <c:v>32.820885837750588</c:v>
                </c:pt>
                <c:pt idx="407">
                  <c:v>32.806777361496103</c:v>
                </c:pt>
                <c:pt idx="408">
                  <c:v>32.792793457278428</c:v>
                </c:pt>
                <c:pt idx="409">
                  <c:v>32.778934715696174</c:v>
                </c:pt>
                <c:pt idx="410">
                  <c:v>32.765201727253185</c:v>
                </c:pt>
                <c:pt idx="411">
                  <c:v>32.751595082352196</c:v>
                </c:pt>
                <c:pt idx="412">
                  <c:v>32.738115371288963</c:v>
                </c:pt>
                <c:pt idx="413">
                  <c:v>32.724763184246804</c:v>
                </c:pt>
                <c:pt idx="414">
                  <c:v>32.711539111291621</c:v>
                </c:pt>
                <c:pt idx="415">
                  <c:v>32.698443742367388</c:v>
                </c:pt>
                <c:pt idx="416">
                  <c:v>32.685477667292083</c:v>
                </c:pt>
                <c:pt idx="417">
                  <c:v>32.672641475754148</c:v>
                </c:pt>
                <c:pt idx="418">
                  <c:v>32.659935757309384</c:v>
                </c:pt>
                <c:pt idx="419">
                  <c:v>32.647361101378358</c:v>
                </c:pt>
                <c:pt idx="420">
                  <c:v>32.634918097244324</c:v>
                </c:pt>
                <c:pt idx="421">
                  <c:v>32.622607334051622</c:v>
                </c:pt>
                <c:pt idx="422">
                  <c:v>32.610429400804605</c:v>
                </c:pt>
                <c:pt idx="423">
                  <c:v>32.598384886367086</c:v>
                </c:pt>
                <c:pt idx="424">
                  <c:v>32.586474379462295</c:v>
                </c:pt>
                <c:pt idx="425">
                  <c:v>32.574698468673375</c:v>
                </c:pt>
                <c:pt idx="426">
                  <c:v>32.563057742444421</c:v>
                </c:pt>
                <c:pt idx="427">
                  <c:v>32.551552789082031</c:v>
                </c:pt>
                <c:pt idx="428">
                  <c:v>32.540184196757458</c:v>
                </c:pt>
                <c:pt idx="429">
                  <c:v>32.528952553509264</c:v>
                </c:pt>
                <c:pt idx="430">
                  <c:v>32.517858447246546</c:v>
                </c:pt>
                <c:pt idx="431">
                  <c:v>32.506902465752745</c:v>
                </c:pt>
                <c:pt idx="432">
                  <c:v>32.496085196690004</c:v>
                </c:pt>
                <c:pt idx="433">
                  <c:v>32.485407227604107</c:v>
                </c:pt>
                <c:pt idx="434">
                  <c:v>32.474869145930008</c:v>
                </c:pt>
                <c:pt idx="435">
                  <c:v>32.464471538997905</c:v>
                </c:pt>
                <c:pt idx="436">
                  <c:v>32.454214994039951</c:v>
                </c:pt>
                <c:pt idx="437">
                  <c:v>32.444100098197531</c:v>
                </c:pt>
                <c:pt idx="438">
                  <c:v>32.434127438529131</c:v>
                </c:pt>
                <c:pt idx="439">
                  <c:v>32.424297602018839</c:v>
                </c:pt>
                <c:pt idx="440">
                  <c:v>32.414611175585399</c:v>
                </c:pt>
                <c:pt idx="441">
                  <c:v>32.405068746091935</c:v>
                </c:pt>
                <c:pt idx="442">
                  <c:v>32.39567090035623</c:v>
                </c:pt>
                <c:pt idx="443">
                  <c:v>32.386418225161663</c:v>
                </c:pt>
                <c:pt idx="444">
                  <c:v>32.377311307268755</c:v>
                </c:pt>
                <c:pt idx="445">
                  <c:v>32.368350733427327</c:v>
                </c:pt>
                <c:pt idx="446">
                  <c:v>32.359537090389281</c:v>
                </c:pt>
                <c:pt idx="447">
                  <c:v>32.350870964922038</c:v>
                </c:pt>
                <c:pt idx="448">
                  <c:v>32.342352943822569</c:v>
                </c:pt>
                <c:pt idx="449">
                  <c:v>32.333983613932098</c:v>
                </c:pt>
                <c:pt idx="450">
                  <c:v>32.325763562151408</c:v>
                </c:pt>
                <c:pt idx="451">
                  <c:v>32.317693375456805</c:v>
                </c:pt>
                <c:pt idx="452">
                  <c:v>32.309773640916731</c:v>
                </c:pt>
                <c:pt idx="453">
                  <c:v>32.30200494570898</c:v>
                </c:pt>
                <c:pt idx="454">
                  <c:v>32.294387877138618</c:v>
                </c:pt>
                <c:pt idx="455">
                  <c:v>32.286923022656488</c:v>
                </c:pt>
                <c:pt idx="456">
                  <c:v>32.279610969878419</c:v>
                </c:pt>
                <c:pt idx="457">
                  <c:v>32.272452306605032</c:v>
                </c:pt>
                <c:pt idx="458">
                  <c:v>32.265447620842238</c:v>
                </c:pt>
                <c:pt idx="459">
                  <c:v>32.258597500822361</c:v>
                </c:pt>
                <c:pt idx="460">
                  <c:v>32.25190253502592</c:v>
                </c:pt>
                <c:pt idx="461">
                  <c:v>32.24536331220407</c:v>
                </c:pt>
                <c:pt idx="462">
                  <c:v>32.238980421401692</c:v>
                </c:pt>
                <c:pt idx="463">
                  <c:v>32.232754451981123</c:v>
                </c:pt>
                <c:pt idx="464">
                  <c:v>32.226685993646555</c:v>
                </c:pt>
                <c:pt idx="465">
                  <c:v>32.220775636469099</c:v>
                </c:pt>
                <c:pt idx="466">
                  <c:v>32.215023970912455</c:v>
                </c:pt>
                <c:pt idx="467">
                  <c:v>32.209431587859285</c:v>
                </c:pt>
                <c:pt idx="468">
                  <c:v>32.203999078638219</c:v>
                </c:pt>
                <c:pt idx="469">
                  <c:v>32.198727035051505</c:v>
                </c:pt>
                <c:pt idx="470">
                  <c:v>32.19361604940331</c:v>
                </c:pt>
                <c:pt idx="471">
                  <c:v>32.188666714528686</c:v>
                </c:pt>
                <c:pt idx="472">
                  <c:v>32.183879623823174</c:v>
                </c:pt>
                <c:pt idx="473">
                  <c:v>32.179255371273044</c:v>
                </c:pt>
                <c:pt idx="474">
                  <c:v>32.174794551486194</c:v>
                </c:pt>
                <c:pt idx="475">
                  <c:v>32.170497759723702</c:v>
                </c:pt>
                <c:pt idx="476">
                  <c:v>32.166365591931992</c:v>
                </c:pt>
                <c:pt idx="477">
                  <c:v>32.162398644775664</c:v>
                </c:pt>
                <c:pt idx="478">
                  <c:v>32.158597515670941</c:v>
                </c:pt>
                <c:pt idx="479">
                  <c:v>32.154962802819782</c:v>
                </c:pt>
                <c:pt idx="480">
                  <c:v>32.151495105244585</c:v>
                </c:pt>
                <c:pt idx="481">
                  <c:v>32.148195022823565</c:v>
                </c:pt>
                <c:pt idx="482">
                  <c:v>32.145063156326728</c:v>
                </c:pt>
                <c:pt idx="483">
                  <c:v>32.142100107452471</c:v>
                </c:pt>
                <c:pt idx="484">
                  <c:v>32.139306478864832</c:v>
                </c:pt>
                <c:pt idx="485">
                  <c:v>32.136682874231312</c:v>
                </c:pt>
                <c:pt idx="486">
                  <c:v>32.134229898261367</c:v>
                </c:pt>
                <c:pt idx="487">
                  <c:v>32.131948156745452</c:v>
                </c:pt>
                <c:pt idx="488">
                  <c:v>32.129838256594724</c:v>
                </c:pt>
                <c:pt idx="489">
                  <c:v>32.12790080588131</c:v>
                </c:pt>
                <c:pt idx="490">
                  <c:v>32.126136413879209</c:v>
                </c:pt>
                <c:pt idx="491">
                  <c:v>32.124545691105745</c:v>
                </c:pt>
                <c:pt idx="492">
                  <c:v>32.123129249363657</c:v>
                </c:pt>
                <c:pt idx="493">
                  <c:v>32.121887701783763</c:v>
                </c:pt>
                <c:pt idx="494">
                  <c:v>32.120821662868167</c:v>
                </c:pt>
                <c:pt idx="495">
                  <c:v>32.1199317485341</c:v>
                </c:pt>
                <c:pt idx="496">
                  <c:v>32.119218576158303</c:v>
                </c:pt>
                <c:pt idx="497">
                  <c:v>32.11868276462198</c:v>
                </c:pt>
                <c:pt idx="498">
                  <c:v>32.118324934356309</c:v>
                </c:pt>
                <c:pt idx="499">
                  <c:v>32.118145707388521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7-4EB0-A162-B3E806D56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反射光の角度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と入射光の角度</a:t>
            </a:r>
            <a:r>
              <a:rPr lang="en-US" altLang="ja-JP" sz="2000"/>
              <a:t>b[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Main!$D$12:$D$511</c:f>
              <c:numCache>
                <c:formatCode>General</c:formatCode>
                <c:ptCount val="500"/>
                <c:pt idx="0">
                  <c:v>28</c:v>
                </c:pt>
                <c:pt idx="1">
                  <c:v>27.967579936615142</c:v>
                </c:pt>
                <c:pt idx="2">
                  <c:v>27.935108483560164</c:v>
                </c:pt>
                <c:pt idx="3">
                  <c:v>27.902585431096963</c:v>
                </c:pt>
                <c:pt idx="4">
                  <c:v>27.870010568609832</c:v>
                </c:pt>
                <c:pt idx="5">
                  <c:v>27.837383684603097</c:v>
                </c:pt>
                <c:pt idx="6">
                  <c:v>27.804704566697204</c:v>
                </c:pt>
                <c:pt idx="7">
                  <c:v>27.771973001625884</c:v>
                </c:pt>
                <c:pt idx="8">
                  <c:v>27.739188775233245</c:v>
                </c:pt>
                <c:pt idx="9">
                  <c:v>27.706351672470056</c:v>
                </c:pt>
                <c:pt idx="10">
                  <c:v>27.673461477390845</c:v>
                </c:pt>
                <c:pt idx="11">
                  <c:v>27.640517973151123</c:v>
                </c:pt>
                <c:pt idx="12">
                  <c:v>27.607520942003472</c:v>
                </c:pt>
                <c:pt idx="13">
                  <c:v>27.574470165295281</c:v>
                </c:pt>
                <c:pt idx="14">
                  <c:v>27.541365423464921</c:v>
                </c:pt>
                <c:pt idx="15">
                  <c:v>27.508206496038916</c:v>
                </c:pt>
                <c:pt idx="16">
                  <c:v>27.474993161629204</c:v>
                </c:pt>
                <c:pt idx="17">
                  <c:v>27.441725197929397</c:v>
                </c:pt>
                <c:pt idx="18">
                  <c:v>27.408402381712065</c:v>
                </c:pt>
                <c:pt idx="19">
                  <c:v>27.37502448882595</c:v>
                </c:pt>
                <c:pt idx="20">
                  <c:v>27.341591294192352</c:v>
                </c:pt>
                <c:pt idx="21">
                  <c:v>27.308102571802365</c:v>
                </c:pt>
                <c:pt idx="22">
                  <c:v>27.274558094714212</c:v>
                </c:pt>
                <c:pt idx="23">
                  <c:v>27.240957635049501</c:v>
                </c:pt>
                <c:pt idx="24">
                  <c:v>27.207300963991095</c:v>
                </c:pt>
                <c:pt idx="25">
                  <c:v>27.173587851779391</c:v>
                </c:pt>
                <c:pt idx="26">
                  <c:v>27.139818067709701</c:v>
                </c:pt>
                <c:pt idx="27">
                  <c:v>27.105991380129634</c:v>
                </c:pt>
                <c:pt idx="28">
                  <c:v>27.072107556435551</c:v>
                </c:pt>
                <c:pt idx="29">
                  <c:v>27.03816636306998</c:v>
                </c:pt>
                <c:pt idx="30">
                  <c:v>27.004167565519065</c:v>
                </c:pt>
                <c:pt idx="31">
                  <c:v>26.970110928308959</c:v>
                </c:pt>
                <c:pt idx="32">
                  <c:v>26.935996215003872</c:v>
                </c:pt>
                <c:pt idx="33">
                  <c:v>26.901823188202439</c:v>
                </c:pt>
                <c:pt idx="34">
                  <c:v>26.867591609535321</c:v>
                </c:pt>
                <c:pt idx="35">
                  <c:v>26.833301239662724</c:v>
                </c:pt>
                <c:pt idx="36">
                  <c:v>26.798951838271002</c:v>
                </c:pt>
                <c:pt idx="37">
                  <c:v>26.764543164070268</c:v>
                </c:pt>
                <c:pt idx="38">
                  <c:v>26.730074974792039</c:v>
                </c:pt>
                <c:pt idx="39">
                  <c:v>26.695547027185746</c:v>
                </c:pt>
                <c:pt idx="40">
                  <c:v>26.660959077017015</c:v>
                </c:pt>
                <c:pt idx="41">
                  <c:v>26.626310879064253</c:v>
                </c:pt>
                <c:pt idx="42">
                  <c:v>26.591602187116415</c:v>
                </c:pt>
                <c:pt idx="43">
                  <c:v>26.55683275397071</c:v>
                </c:pt>
                <c:pt idx="44">
                  <c:v>26.522002331429462</c:v>
                </c:pt>
                <c:pt idx="45">
                  <c:v>26.487110670297927</c:v>
                </c:pt>
                <c:pt idx="46">
                  <c:v>26.452157520382112</c:v>
                </c:pt>
                <c:pt idx="47">
                  <c:v>26.417142630485614</c:v>
                </c:pt>
                <c:pt idx="48">
                  <c:v>26.382065748408039</c:v>
                </c:pt>
                <c:pt idx="49">
                  <c:v>26.34692662094189</c:v>
                </c:pt>
                <c:pt idx="50">
                  <c:v>26.311724993870548</c:v>
                </c:pt>
                <c:pt idx="51">
                  <c:v>26.2764606119663</c:v>
                </c:pt>
                <c:pt idx="52">
                  <c:v>26.24113321898739</c:v>
                </c:pt>
                <c:pt idx="53">
                  <c:v>26.205742557676121</c:v>
                </c:pt>
                <c:pt idx="54">
                  <c:v>26.170288369756992</c:v>
                </c:pt>
                <c:pt idx="55">
                  <c:v>26.134770395933778</c:v>
                </c:pt>
                <c:pt idx="56">
                  <c:v>26.099188375888282</c:v>
                </c:pt>
                <c:pt idx="57">
                  <c:v>26.06354204827749</c:v>
                </c:pt>
                <c:pt idx="58">
                  <c:v>26.02783115073187</c:v>
                </c:pt>
                <c:pt idx="59">
                  <c:v>25.992055419853706</c:v>
                </c:pt>
                <c:pt idx="60">
                  <c:v>25.95621459121449</c:v>
                </c:pt>
                <c:pt idx="61">
                  <c:v>25.920308399353345</c:v>
                </c:pt>
                <c:pt idx="62">
                  <c:v>25.884336577775514</c:v>
                </c:pt>
                <c:pt idx="63">
                  <c:v>25.84829885894974</c:v>
                </c:pt>
                <c:pt idx="64">
                  <c:v>25.812194974307449</c:v>
                </c:pt>
                <c:pt idx="65">
                  <c:v>25.776024654240196</c:v>
                </c:pt>
                <c:pt idx="66">
                  <c:v>25.73978762809837</c:v>
                </c:pt>
                <c:pt idx="67">
                  <c:v>25.703483624189918</c:v>
                </c:pt>
                <c:pt idx="68">
                  <c:v>25.667112369778103</c:v>
                </c:pt>
                <c:pt idx="69">
                  <c:v>25.630673591080338</c:v>
                </c:pt>
                <c:pt idx="70">
                  <c:v>25.594167013267068</c:v>
                </c:pt>
                <c:pt idx="71">
                  <c:v>25.557592360459612</c:v>
                </c:pt>
                <c:pt idx="72">
                  <c:v>25.520949355729694</c:v>
                </c:pt>
                <c:pt idx="73">
                  <c:v>25.484237721097404</c:v>
                </c:pt>
                <c:pt idx="74">
                  <c:v>25.447457177530296</c:v>
                </c:pt>
                <c:pt idx="75">
                  <c:v>25.410607444942581</c:v>
                </c:pt>
                <c:pt idx="76">
                  <c:v>25.373688242193357</c:v>
                </c:pt>
                <c:pt idx="77">
                  <c:v>25.336699287085899</c:v>
                </c:pt>
                <c:pt idx="78">
                  <c:v>25.29964029636707</c:v>
                </c:pt>
                <c:pt idx="79">
                  <c:v>25.262510985725594</c:v>
                </c:pt>
                <c:pt idx="80">
                  <c:v>25.225311069792134</c:v>
                </c:pt>
                <c:pt idx="81">
                  <c:v>25.188040262137761</c:v>
                </c:pt>
                <c:pt idx="82">
                  <c:v>25.15069827527358</c:v>
                </c:pt>
                <c:pt idx="83">
                  <c:v>25.11328482065046</c:v>
                </c:pt>
                <c:pt idx="84">
                  <c:v>25.075799608657796</c:v>
                </c:pt>
                <c:pt idx="85">
                  <c:v>25.038242348623406</c:v>
                </c:pt>
                <c:pt idx="86">
                  <c:v>25.000612748813452</c:v>
                </c:pt>
                <c:pt idx="87">
                  <c:v>24.962910516431325</c:v>
                </c:pt>
                <c:pt idx="88">
                  <c:v>24.925135357618341</c:v>
                </c:pt>
                <c:pt idx="89">
                  <c:v>24.887286977452778</c:v>
                </c:pt>
                <c:pt idx="90">
                  <c:v>24.849365079950129</c:v>
                </c:pt>
                <c:pt idx="91">
                  <c:v>24.811369368063499</c:v>
                </c:pt>
                <c:pt idx="92">
                  <c:v>24.77329954368296</c:v>
                </c:pt>
                <c:pt idx="93">
                  <c:v>24.73515530763612</c:v>
                </c:pt>
                <c:pt idx="94">
                  <c:v>24.696936359688731</c:v>
                </c:pt>
                <c:pt idx="95">
                  <c:v>24.658642398544234</c:v>
                </c:pt>
                <c:pt idx="96">
                  <c:v>24.62027312184517</c:v>
                </c:pt>
                <c:pt idx="97">
                  <c:v>24.581828226172892</c:v>
                </c:pt>
                <c:pt idx="98">
                  <c:v>24.54330740704858</c:v>
                </c:pt>
                <c:pt idx="99">
                  <c:v>24.504710358934332</c:v>
                </c:pt>
                <c:pt idx="100">
                  <c:v>24.466036775233299</c:v>
                </c:pt>
                <c:pt idx="101">
                  <c:v>24.427286348290995</c:v>
                </c:pt>
                <c:pt idx="102">
                  <c:v>24.388458769396696</c:v>
                </c:pt>
                <c:pt idx="103">
                  <c:v>24.349553728783771</c:v>
                </c:pt>
                <c:pt idx="104">
                  <c:v>24.310570915631907</c:v>
                </c:pt>
                <c:pt idx="105">
                  <c:v>24.271510018067602</c:v>
                </c:pt>
                <c:pt idx="106">
                  <c:v>24.232370723166063</c:v>
                </c:pt>
                <c:pt idx="107">
                  <c:v>24.193152716953122</c:v>
                </c:pt>
                <c:pt idx="108">
                  <c:v>24.153855684406249</c:v>
                </c:pt>
                <c:pt idx="109">
                  <c:v>24.114479309456723</c:v>
                </c:pt>
                <c:pt idx="110">
                  <c:v>24.075023274991942</c:v>
                </c:pt>
                <c:pt idx="111">
                  <c:v>24.035487262856677</c:v>
                </c:pt>
                <c:pt idx="112">
                  <c:v>23.995870953856166</c:v>
                </c:pt>
                <c:pt idx="113">
                  <c:v>23.956174027757648</c:v>
                </c:pt>
                <c:pt idx="114">
                  <c:v>23.916396163293136</c:v>
                </c:pt>
                <c:pt idx="115">
                  <c:v>23.876537038162343</c:v>
                </c:pt>
                <c:pt idx="116">
                  <c:v>23.836596329034698</c:v>
                </c:pt>
                <c:pt idx="117">
                  <c:v>23.796573711552504</c:v>
                </c:pt>
                <c:pt idx="118">
                  <c:v>23.756468860334312</c:v>
                </c:pt>
                <c:pt idx="119">
                  <c:v>23.71628144897716</c:v>
                </c:pt>
                <c:pt idx="120">
                  <c:v>23.676011150060802</c:v>
                </c:pt>
                <c:pt idx="121">
                  <c:v>23.63565763515027</c:v>
                </c:pt>
                <c:pt idx="122">
                  <c:v>23.595220574799761</c:v>
                </c:pt>
                <c:pt idx="123">
                  <c:v>23.554699638556695</c:v>
                </c:pt>
                <c:pt idx="124">
                  <c:v>23.514094494964819</c:v>
                </c:pt>
                <c:pt idx="125">
                  <c:v>23.47340481156861</c:v>
                </c:pt>
                <c:pt idx="126">
                  <c:v>23.432630254917704</c:v>
                </c:pt>
                <c:pt idx="127">
                  <c:v>23.391770490570423</c:v>
                </c:pt>
                <c:pt idx="128">
                  <c:v>23.350825183099172</c:v>
                </c:pt>
                <c:pt idx="129">
                  <c:v>23.309793996094218</c:v>
                </c:pt>
                <c:pt idx="130">
                  <c:v>23.268676592168863</c:v>
                </c:pt>
                <c:pt idx="131">
                  <c:v>23.227472632964766</c:v>
                </c:pt>
                <c:pt idx="132">
                  <c:v>23.186181779156321</c:v>
                </c:pt>
                <c:pt idx="133">
                  <c:v>23.144803690456342</c:v>
                </c:pt>
                <c:pt idx="134">
                  <c:v>23.103338025621895</c:v>
                </c:pt>
                <c:pt idx="135">
                  <c:v>23.061784442459114</c:v>
                </c:pt>
                <c:pt idx="136">
                  <c:v>23.020142597830009</c:v>
                </c:pt>
                <c:pt idx="137">
                  <c:v>22.978412147657618</c:v>
                </c:pt>
                <c:pt idx="138">
                  <c:v>22.936592746932593</c:v>
                </c:pt>
                <c:pt idx="139">
                  <c:v>22.894684049719967</c:v>
                </c:pt>
                <c:pt idx="140">
                  <c:v>22.85268570916498</c:v>
                </c:pt>
                <c:pt idx="141">
                  <c:v>22.810597377500265</c:v>
                </c:pt>
                <c:pt idx="142">
                  <c:v>22.768418706053168</c:v>
                </c:pt>
                <c:pt idx="143">
                  <c:v>22.726149345252072</c:v>
                </c:pt>
                <c:pt idx="144">
                  <c:v>22.683788944634788</c:v>
                </c:pt>
                <c:pt idx="145">
                  <c:v>22.64133715285525</c:v>
                </c:pt>
                <c:pt idx="146">
                  <c:v>22.59879361769169</c:v>
                </c:pt>
                <c:pt idx="147">
                  <c:v>22.556157986055055</c:v>
                </c:pt>
                <c:pt idx="148">
                  <c:v>22.513429903996439</c:v>
                </c:pt>
                <c:pt idx="149">
                  <c:v>22.47060901671594</c:v>
                </c:pt>
                <c:pt idx="150">
                  <c:v>22.427694968571672</c:v>
                </c:pt>
                <c:pt idx="151">
                  <c:v>22.384687403087817</c:v>
                </c:pt>
                <c:pt idx="152">
                  <c:v>22.341585962964707</c:v>
                </c:pt>
                <c:pt idx="153">
                  <c:v>22.298390290087315</c:v>
                </c:pt>
                <c:pt idx="154">
                  <c:v>22.255100025535221</c:v>
                </c:pt>
                <c:pt idx="155">
                  <c:v>22.211714809592788</c:v>
                </c:pt>
                <c:pt idx="156">
                  <c:v>22.168234281758505</c:v>
                </c:pt>
                <c:pt idx="157">
                  <c:v>22.124658080755619</c:v>
                </c:pt>
                <c:pt idx="158">
                  <c:v>22.080985844543115</c:v>
                </c:pt>
                <c:pt idx="159">
                  <c:v>22.037217210325608</c:v>
                </c:pt>
                <c:pt idx="160">
                  <c:v>21.993351814565404</c:v>
                </c:pt>
                <c:pt idx="161">
                  <c:v>21.949389292992951</c:v>
                </c:pt>
                <c:pt idx="162">
                  <c:v>21.905329280618762</c:v>
                </c:pt>
                <c:pt idx="163">
                  <c:v>21.861171411745655</c:v>
                </c:pt>
                <c:pt idx="164">
                  <c:v>21.816915319980097</c:v>
                </c:pt>
                <c:pt idx="165">
                  <c:v>21.772560638244926</c:v>
                </c:pt>
                <c:pt idx="166">
                  <c:v>21.728106998792416</c:v>
                </c:pt>
                <c:pt idx="167">
                  <c:v>21.683554033216303</c:v>
                </c:pt>
                <c:pt idx="168">
                  <c:v>21.63890137246598</c:v>
                </c:pt>
                <c:pt idx="169">
                  <c:v>21.594148646859146</c:v>
                </c:pt>
                <c:pt idx="170">
                  <c:v>21.549295486095918</c:v>
                </c:pt>
                <c:pt idx="171">
                  <c:v>21.504341519273318</c:v>
                </c:pt>
                <c:pt idx="172">
                  <c:v>21.459286374898848</c:v>
                </c:pt>
                <c:pt idx="173">
                  <c:v>21.41412968090555</c:v>
                </c:pt>
                <c:pt idx="174">
                  <c:v>21.368871064667346</c:v>
                </c:pt>
                <c:pt idx="175">
                  <c:v>21.323510153013405</c:v>
                </c:pt>
                <c:pt idx="176">
                  <c:v>21.278046572244783</c:v>
                </c:pt>
                <c:pt idx="177">
                  <c:v>21.232479948149368</c:v>
                </c:pt>
                <c:pt idx="178">
                  <c:v>21.186809906018517</c:v>
                </c:pt>
                <c:pt idx="179">
                  <c:v>21.141036070663951</c:v>
                </c:pt>
                <c:pt idx="180">
                  <c:v>21.095158066433832</c:v>
                </c:pt>
                <c:pt idx="181">
                  <c:v>21.049175517230342</c:v>
                </c:pt>
                <c:pt idx="182">
                  <c:v>21.00308804652758</c:v>
                </c:pt>
                <c:pt idx="183">
                  <c:v>20.956895277388519</c:v>
                </c:pt>
                <c:pt idx="184">
                  <c:v>20.910596832484192</c:v>
                </c:pt>
                <c:pt idx="185">
                  <c:v>20.86419233411134</c:v>
                </c:pt>
                <c:pt idx="186">
                  <c:v>20.817681404211704</c:v>
                </c:pt>
                <c:pt idx="187">
                  <c:v>20.771063664391569</c:v>
                </c:pt>
                <c:pt idx="188">
                  <c:v>20.724338735940623</c:v>
                </c:pt>
                <c:pt idx="189">
                  <c:v>20.677506239852278</c:v>
                </c:pt>
                <c:pt idx="190">
                  <c:v>20.630565796844326</c:v>
                </c:pt>
                <c:pt idx="191">
                  <c:v>20.583517027378733</c:v>
                </c:pt>
                <c:pt idx="192">
                  <c:v>20.536359551683677</c:v>
                </c:pt>
                <c:pt idx="193">
                  <c:v>20.489092989774075</c:v>
                </c:pt>
                <c:pt idx="194">
                  <c:v>20.441716961473716</c:v>
                </c:pt>
                <c:pt idx="195">
                  <c:v>20.39423108643787</c:v>
                </c:pt>
                <c:pt idx="196">
                  <c:v>20.346634984174994</c:v>
                </c:pt>
                <c:pt idx="197">
                  <c:v>20.298928274070082</c:v>
                </c:pt>
                <c:pt idx="198">
                  <c:v>20.251110575408404</c:v>
                </c:pt>
                <c:pt idx="199">
                  <c:v>20.203181507398277</c:v>
                </c:pt>
                <c:pt idx="200">
                  <c:v>20.155140689196248</c:v>
                </c:pt>
                <c:pt idx="201">
                  <c:v>20.106987739930705</c:v>
                </c:pt>
                <c:pt idx="202">
                  <c:v>20.058722278727171</c:v>
                </c:pt>
                <c:pt idx="203">
                  <c:v>20.010343924734091</c:v>
                </c:pt>
                <c:pt idx="204">
                  <c:v>19.961852297147754</c:v>
                </c:pt>
                <c:pt idx="205">
                  <c:v>19.913247015238863</c:v>
                </c:pt>
                <c:pt idx="206">
                  <c:v>19.864527698379543</c:v>
                </c:pt>
                <c:pt idx="207">
                  <c:v>19.815693966069425</c:v>
                </c:pt>
                <c:pt idx="208">
                  <c:v>19.766745437964136</c:v>
                </c:pt>
                <c:pt idx="209">
                  <c:v>19.717681733902289</c:v>
                </c:pt>
                <c:pt idx="210">
                  <c:v>19.668502473934151</c:v>
                </c:pt>
                <c:pt idx="211">
                  <c:v>19.619207278350835</c:v>
                </c:pt>
                <c:pt idx="212">
                  <c:v>19.569795767712666</c:v>
                </c:pt>
                <c:pt idx="213">
                  <c:v>19.520267562879258</c:v>
                </c:pt>
                <c:pt idx="214">
                  <c:v>19.470622285039994</c:v>
                </c:pt>
                <c:pt idx="215">
                  <c:v>19.420859555743618</c:v>
                </c:pt>
                <c:pt idx="216">
                  <c:v>19.370978996930372</c:v>
                </c:pt>
                <c:pt idx="217">
                  <c:v>19.320980230962448</c:v>
                </c:pt>
                <c:pt idx="218">
                  <c:v>19.270862880656374</c:v>
                </c:pt>
                <c:pt idx="219">
                  <c:v>19.220626569315804</c:v>
                </c:pt>
                <c:pt idx="220">
                  <c:v>19.170270920763571</c:v>
                </c:pt>
                <c:pt idx="221">
                  <c:v>19.119795559375429</c:v>
                </c:pt>
                <c:pt idx="222">
                  <c:v>19.069200110114298</c:v>
                </c:pt>
                <c:pt idx="223">
                  <c:v>19.018484198563598</c:v>
                </c:pt>
                <c:pt idx="224">
                  <c:v>18.967647450963131</c:v>
                </c:pt>
                <c:pt idx="225">
                  <c:v>18.916689494243371</c:v>
                </c:pt>
                <c:pt idx="226">
                  <c:v>18.865609956061686</c:v>
                </c:pt>
                <c:pt idx="227">
                  <c:v>18.814408464838934</c:v>
                </c:pt>
                <c:pt idx="228">
                  <c:v>18.763084649795438</c:v>
                </c:pt>
                <c:pt idx="229">
                  <c:v>18.711638140988619</c:v>
                </c:pt>
                <c:pt idx="230">
                  <c:v>18.660068569351171</c:v>
                </c:pt>
                <c:pt idx="231">
                  <c:v>18.608375566728334</c:v>
                </c:pt>
                <c:pt idx="232">
                  <c:v>18.55655876591776</c:v>
                </c:pt>
                <c:pt idx="233">
                  <c:v>18.504617800707805</c:v>
                </c:pt>
                <c:pt idx="234">
                  <c:v>18.452552305917738</c:v>
                </c:pt>
                <c:pt idx="235">
                  <c:v>18.400361917438435</c:v>
                </c:pt>
                <c:pt idx="236">
                  <c:v>18.348046272272359</c:v>
                </c:pt>
                <c:pt idx="237">
                  <c:v>18.295605008575308</c:v>
                </c:pt>
                <c:pt idx="238">
                  <c:v>18.243037765698674</c:v>
                </c:pt>
                <c:pt idx="239">
                  <c:v>18.190344184230838</c:v>
                </c:pt>
                <c:pt idx="240">
                  <c:v>18.137523906041213</c:v>
                </c:pt>
                <c:pt idx="241">
                  <c:v>18.084576574322636</c:v>
                </c:pt>
                <c:pt idx="242">
                  <c:v>18.03150183363579</c:v>
                </c:pt>
                <c:pt idx="243">
                  <c:v>17.978299329954091</c:v>
                </c:pt>
                <c:pt idx="244">
                  <c:v>17.924968710707855</c:v>
                </c:pt>
                <c:pt idx="245">
                  <c:v>17.871509624830281</c:v>
                </c:pt>
                <c:pt idx="246">
                  <c:v>17.817921722803963</c:v>
                </c:pt>
                <c:pt idx="247">
                  <c:v>17.764204656706532</c:v>
                </c:pt>
                <c:pt idx="248">
                  <c:v>17.710358080258931</c:v>
                </c:pt>
                <c:pt idx="249">
                  <c:v>17.656381648872141</c:v>
                </c:pt>
                <c:pt idx="250">
                  <c:v>17.602275019695849</c:v>
                </c:pt>
                <c:pt idx="251">
                  <c:v>17.548037851667655</c:v>
                </c:pt>
                <c:pt idx="252">
                  <c:v>17.493669805561542</c:v>
                </c:pt>
                <c:pt idx="253">
                  <c:v>17.439170544038202</c:v>
                </c:pt>
                <c:pt idx="254">
                  <c:v>17.384539731695842</c:v>
                </c:pt>
                <c:pt idx="255">
                  <c:v>17.329777035120159</c:v>
                </c:pt>
                <c:pt idx="256">
                  <c:v>17.274882122936997</c:v>
                </c:pt>
                <c:pt idx="257">
                  <c:v>17.21985466586338</c:v>
                </c:pt>
                <c:pt idx="258">
                  <c:v>17.16469433676054</c:v>
                </c:pt>
                <c:pt idx="259">
                  <c:v>17.109400810687486</c:v>
                </c:pt>
                <c:pt idx="260">
                  <c:v>17.053973764953824</c:v>
                </c:pt>
                <c:pt idx="261">
                  <c:v>16.99841287917442</c:v>
                </c:pt>
                <c:pt idx="262">
                  <c:v>16.942717835324594</c:v>
                </c:pt>
                <c:pt idx="263">
                  <c:v>16.88688831779443</c:v>
                </c:pt>
                <c:pt idx="264">
                  <c:v>16.830924013445784</c:v>
                </c:pt>
                <c:pt idx="265">
                  <c:v>16.774824611667668</c:v>
                </c:pt>
                <c:pt idx="266">
                  <c:v>16.718589804433631</c:v>
                </c:pt>
                <c:pt idx="267">
                  <c:v>16.662219286359658</c:v>
                </c:pt>
                <c:pt idx="268">
                  <c:v>16.605712754761306</c:v>
                </c:pt>
                <c:pt idx="269">
                  <c:v>16.549069909712703</c:v>
                </c:pt>
                <c:pt idx="270">
                  <c:v>16.492290454106072</c:v>
                </c:pt>
                <c:pt idx="271">
                  <c:v>16.435374093710287</c:v>
                </c:pt>
                <c:pt idx="272">
                  <c:v>16.378320537232241</c:v>
                </c:pt>
                <c:pt idx="273">
                  <c:v>16.321129496376432</c:v>
                </c:pt>
                <c:pt idx="274">
                  <c:v>16.263800685906649</c:v>
                </c:pt>
                <c:pt idx="275">
                  <c:v>16.206333823708096</c:v>
                </c:pt>
                <c:pt idx="276">
                  <c:v>16.148728630848758</c:v>
                </c:pt>
                <c:pt idx="277">
                  <c:v>16.090984831642594</c:v>
                </c:pt>
                <c:pt idx="278">
                  <c:v>16.033102153713248</c:v>
                </c:pt>
                <c:pt idx="279">
                  <c:v>15.975080328056761</c:v>
                </c:pt>
                <c:pt idx="280">
                  <c:v>15.916919089107079</c:v>
                </c:pt>
                <c:pt idx="281">
                  <c:v>15.85861817479976</c:v>
                </c:pt>
                <c:pt idx="282">
                  <c:v>15.800177326637701</c:v>
                </c:pt>
                <c:pt idx="283">
                  <c:v>15.741596289757346</c:v>
                </c:pt>
                <c:pt idx="284">
                  <c:v>15.682874812994067</c:v>
                </c:pt>
                <c:pt idx="285">
                  <c:v>15.624012648949522</c:v>
                </c:pt>
                <c:pt idx="286">
                  <c:v>15.565009554058696</c:v>
                </c:pt>
                <c:pt idx="287">
                  <c:v>15.505865288657589</c:v>
                </c:pt>
                <c:pt idx="288">
                  <c:v>15.446579617051389</c:v>
                </c:pt>
                <c:pt idx="289">
                  <c:v>15.387152307583055</c:v>
                </c:pt>
                <c:pt idx="290">
                  <c:v>15.327583132702472</c:v>
                </c:pt>
                <c:pt idx="291">
                  <c:v>15.267871869035909</c:v>
                </c:pt>
                <c:pt idx="292">
                  <c:v>15.20801829745605</c:v>
                </c:pt>
                <c:pt idx="293">
                  <c:v>15.148022203152308</c:v>
                </c:pt>
                <c:pt idx="294">
                  <c:v>15.087883375701788</c:v>
                </c:pt>
                <c:pt idx="295">
                  <c:v>15.027601609140458</c:v>
                </c:pt>
                <c:pt idx="296">
                  <c:v>14.967176702034873</c:v>
                </c:pt>
                <c:pt idx="297">
                  <c:v>14.906608457554194</c:v>
                </c:pt>
                <c:pt idx="298">
                  <c:v>14.845896683542769</c:v>
                </c:pt>
                <c:pt idx="299">
                  <c:v>14.785041192592944</c:v>
                </c:pt>
                <c:pt idx="300">
                  <c:v>14.724041802118352</c:v>
                </c:pt>
                <c:pt idx="301">
                  <c:v>14.662898334427497</c:v>
                </c:pt>
                <c:pt idx="302">
                  <c:v>14.601610616797839</c:v>
                </c:pt>
                <c:pt idx="303">
                  <c:v>14.540178481550091</c:v>
                </c:pt>
                <c:pt idx="304">
                  <c:v>14.478601766122971</c:v>
                </c:pt>
                <c:pt idx="305">
                  <c:v>14.416880313148171</c:v>
                </c:pt>
                <c:pt idx="306">
                  <c:v>14.355013970525812</c:v>
                </c:pt>
                <c:pt idx="307">
                  <c:v>14.29300259150012</c:v>
                </c:pt>
                <c:pt idx="308">
                  <c:v>14.230846034735352</c:v>
                </c:pt>
                <c:pt idx="309">
                  <c:v>14.168544164392204</c:v>
                </c:pt>
                <c:pt idx="310">
                  <c:v>14.106096850204306</c:v>
                </c:pt>
                <c:pt idx="311">
                  <c:v>14.043503967555132</c:v>
                </c:pt>
                <c:pt idx="312">
                  <c:v>13.980765397555048</c:v>
                </c:pt>
                <c:pt idx="313">
                  <c:v>13.917881027118776</c:v>
                </c:pt>
                <c:pt idx="314">
                  <c:v>13.854850749042951</c:v>
                </c:pt>
                <c:pt idx="315">
                  <c:v>13.791674462083979</c:v>
                </c:pt>
                <c:pt idx="316">
                  <c:v>13.728352071036031</c:v>
                </c:pt>
                <c:pt idx="317">
                  <c:v>13.664883486809396</c:v>
                </c:pt>
                <c:pt idx="318">
                  <c:v>13.601268626508867</c:v>
                </c:pt>
                <c:pt idx="319">
                  <c:v>13.537507413512378</c:v>
                </c:pt>
                <c:pt idx="320">
                  <c:v>13.473599777549731</c:v>
                </c:pt>
                <c:pt idx="321">
                  <c:v>13.409545654781633</c:v>
                </c:pt>
                <c:pt idx="322">
                  <c:v>13.345344987878669</c:v>
                </c:pt>
                <c:pt idx="323">
                  <c:v>13.280997726100541</c:v>
                </c:pt>
                <c:pt idx="324">
                  <c:v>13.216503825375284</c:v>
                </c:pt>
                <c:pt idx="325">
                  <c:v>13.151863248378751</c:v>
                </c:pt>
                <c:pt idx="326">
                  <c:v>13.087075964613986</c:v>
                </c:pt>
                <c:pt idx="327">
                  <c:v>13.022141950490781</c:v>
                </c:pt>
                <c:pt idx="328">
                  <c:v>12.957061189405181</c:v>
                </c:pt>
                <c:pt idx="329">
                  <c:v>12.891833671819143</c:v>
                </c:pt>
                <c:pt idx="330">
                  <c:v>12.826459395340088</c:v>
                </c:pt>
                <c:pt idx="331">
                  <c:v>12.760938364800527</c:v>
                </c:pt>
                <c:pt idx="332">
                  <c:v>12.695270592337559</c:v>
                </c:pt>
                <c:pt idx="333">
                  <c:v>12.629456097472509</c:v>
                </c:pt>
                <c:pt idx="334">
                  <c:v>12.56349490719035</c:v>
                </c:pt>
                <c:pt idx="335">
                  <c:v>12.497387056019136</c:v>
                </c:pt>
                <c:pt idx="336">
                  <c:v>12.431132586109253</c:v>
                </c:pt>
                <c:pt idx="337">
                  <c:v>12.364731547312745</c:v>
                </c:pt>
                <c:pt idx="338">
                  <c:v>12.298183997262306</c:v>
                </c:pt>
                <c:pt idx="339">
                  <c:v>12.231490001450279</c:v>
                </c:pt>
                <c:pt idx="340">
                  <c:v>12.164649633307357</c:v>
                </c:pt>
                <c:pt idx="341">
                  <c:v>12.097662974281285</c:v>
                </c:pt>
                <c:pt idx="342">
                  <c:v>12.030530113915182</c:v>
                </c:pt>
                <c:pt idx="343">
                  <c:v>11.963251149925766</c:v>
                </c:pt>
                <c:pt idx="344">
                  <c:v>11.895826188281221</c:v>
                </c:pt>
                <c:pt idx="345">
                  <c:v>11.828255343278983</c:v>
                </c:pt>
                <c:pt idx="346">
                  <c:v>11.760538737623076</c:v>
                </c:pt>
                <c:pt idx="347">
                  <c:v>11.692676502501255</c:v>
                </c:pt>
                <c:pt idx="348">
                  <c:v>11.624668777661739</c:v>
                </c:pt>
                <c:pt idx="349">
                  <c:v>11.556515711489755</c:v>
                </c:pt>
                <c:pt idx="350">
                  <c:v>11.488217461083561</c:v>
                </c:pt>
                <c:pt idx="351">
                  <c:v>11.419774192330223</c:v>
                </c:pt>
                <c:pt idx="352">
                  <c:v>11.351186079980847</c:v>
                </c:pt>
                <c:pt idx="353">
                  <c:v>11.282453307725579</c:v>
                </c:pt>
                <c:pt idx="354">
                  <c:v>11.213576068268011</c:v>
                </c:pt>
                <c:pt idx="355">
                  <c:v>11.144554563399209</c:v>
                </c:pt>
                <c:pt idx="356">
                  <c:v>11.075389004071145</c:v>
                </c:pt>
                <c:pt idx="357">
                  <c:v>11.006079610469833</c:v>
                </c:pt>
                <c:pt idx="358">
                  <c:v>10.936626612087732</c:v>
                </c:pt>
                <c:pt idx="359">
                  <c:v>10.86703024779572</c:v>
                </c:pt>
                <c:pt idx="360">
                  <c:v>10.797290765914408</c:v>
                </c:pt>
                <c:pt idx="361">
                  <c:v>10.727408424285006</c:v>
                </c:pt>
                <c:pt idx="362">
                  <c:v>10.657383490339448</c:v>
                </c:pt>
                <c:pt idx="363">
                  <c:v>10.587216241169878</c:v>
                </c:pt>
                <c:pt idx="364">
                  <c:v>10.516906963597624</c:v>
                </c:pt>
                <c:pt idx="365">
                  <c:v>10.446455954241339</c:v>
                </c:pt>
                <c:pt idx="366">
                  <c:v>10.375863519584508</c:v>
                </c:pt>
                <c:pt idx="367">
                  <c:v>10.305129976042254</c:v>
                </c:pt>
                <c:pt idx="368">
                  <c:v>10.234255650027311</c:v>
                </c:pt>
                <c:pt idx="369">
                  <c:v>10.163240878015374</c:v>
                </c:pt>
                <c:pt idx="370">
                  <c:v>10.09208600660955</c:v>
                </c:pt>
                <c:pt idx="371">
                  <c:v>10.020791392603975</c:v>
                </c:pt>
                <c:pt idx="372">
                  <c:v>9.9493574030467506</c:v>
                </c:pt>
                <c:pt idx="373">
                  <c:v>9.8777844153018659</c:v>
                </c:pt>
                <c:pt idx="374">
                  <c:v>9.8060728171103229</c:v>
                </c:pt>
                <c:pt idx="375">
                  <c:v>9.7342230066503692</c:v>
                </c:pt>
                <c:pt idx="376">
                  <c:v>9.6622353925967115</c:v>
                </c:pt>
                <c:pt idx="377">
                  <c:v>9.590110394178982</c:v>
                </c:pt>
                <c:pt idx="378">
                  <c:v>9.517848441239062</c:v>
                </c:pt>
                <c:pt idx="379">
                  <c:v>9.4454499742874347</c:v>
                </c:pt>
                <c:pt idx="380">
                  <c:v>9.3729154445586822</c:v>
                </c:pt>
                <c:pt idx="381">
                  <c:v>9.3002453140657817</c:v>
                </c:pt>
                <c:pt idx="382">
                  <c:v>9.2274400556534371</c:v>
                </c:pt>
                <c:pt idx="383">
                  <c:v>9.154500153050348</c:v>
                </c:pt>
                <c:pt idx="384">
                  <c:v>9.081426100920277</c:v>
                </c:pt>
                <c:pt idx="385">
                  <c:v>9.0082184049122063</c:v>
                </c:pt>
                <c:pt idx="386">
                  <c:v>8.9348775817091646</c:v>
                </c:pt>
                <c:pt idx="387">
                  <c:v>8.861404159076006</c:v>
                </c:pt>
                <c:pt idx="388">
                  <c:v>8.7877986759059326</c:v>
                </c:pt>
                <c:pt idx="389">
                  <c:v>8.7140616822659585</c:v>
                </c:pt>
                <c:pt idx="390">
                  <c:v>8.6401937394410027</c:v>
                </c:pt>
                <c:pt idx="391">
                  <c:v>8.5661954199768608</c:v>
                </c:pt>
                <c:pt idx="392">
                  <c:v>8.4920673077218005</c:v>
                </c:pt>
                <c:pt idx="393">
                  <c:v>8.4178099978670566</c:v>
                </c:pt>
                <c:pt idx="394">
                  <c:v>8.3434240969858724</c:v>
                </c:pt>
                <c:pt idx="395">
                  <c:v>8.2689102230713019</c:v>
                </c:pt>
                <c:pt idx="396">
                  <c:v>8.1942690055726182</c:v>
                </c:pt>
                <c:pt idx="397">
                  <c:v>8.1195010854305174</c:v>
                </c:pt>
                <c:pt idx="398">
                  <c:v>8.0446071151107681</c:v>
                </c:pt>
                <c:pt idx="399">
                  <c:v>7.9695877586366235</c:v>
                </c:pt>
                <c:pt idx="400">
                  <c:v>7.8944436916196663</c:v>
                </c:pt>
                <c:pt idx="401">
                  <c:v>7.8191756012894604</c:v>
                </c:pt>
                <c:pt idx="402">
                  <c:v>7.7437841865215562</c:v>
                </c:pt>
                <c:pt idx="403">
                  <c:v>7.6682701578641597</c:v>
                </c:pt>
                <c:pt idx="404">
                  <c:v>7.5926342375632103</c:v>
                </c:pt>
                <c:pt idx="405">
                  <c:v>7.516877159586179</c:v>
                </c:pt>
                <c:pt idx="406">
                  <c:v>7.4409996696441363</c:v>
                </c:pt>
                <c:pt idx="407">
                  <c:v>7.3650025252124651</c:v>
                </c:pt>
                <c:pt idx="408">
                  <c:v>7.2888864955498969</c:v>
                </c:pt>
                <c:pt idx="409">
                  <c:v>7.2126523617161773</c:v>
                </c:pt>
                <c:pt idx="410">
                  <c:v>7.1363009165880209</c:v>
                </c:pt>
                <c:pt idx="411">
                  <c:v>7.0598329648735678</c:v>
                </c:pt>
                <c:pt idx="412">
                  <c:v>6.9832493231251656</c:v>
                </c:pt>
                <c:pt idx="413">
                  <c:v>6.9065508197507093</c:v>
                </c:pt>
                <c:pt idx="414">
                  <c:v>6.8297382950232164</c:v>
                </c:pt>
                <c:pt idx="415">
                  <c:v>6.7528126010888503</c:v>
                </c:pt>
                <c:pt idx="416">
                  <c:v>6.6757746019732327</c:v>
                </c:pt>
                <c:pt idx="417">
                  <c:v>6.5986251735862584</c:v>
                </c:pt>
                <c:pt idx="418">
                  <c:v>6.5213652037251109</c:v>
                </c:pt>
                <c:pt idx="419">
                  <c:v>6.4439955920756038</c:v>
                </c:pt>
                <c:pt idx="420">
                  <c:v>6.3665172502119969</c:v>
                </c:pt>
                <c:pt idx="421">
                  <c:v>6.2889311015949598</c:v>
                </c:pt>
                <c:pt idx="422">
                  <c:v>6.2112380815679371</c:v>
                </c:pt>
                <c:pt idx="423">
                  <c:v>6.1334391373517088</c:v>
                </c:pt>
                <c:pt idx="424">
                  <c:v>6.0555352280374084</c:v>
                </c:pt>
                <c:pt idx="425">
                  <c:v>5.9775273245776583</c:v>
                </c:pt>
                <c:pt idx="426">
                  <c:v>5.8994164097760704</c:v>
                </c:pt>
                <c:pt idx="427">
                  <c:v>5.8212034782749349</c:v>
                </c:pt>
                <c:pt idx="428">
                  <c:v>5.7428895365413082</c:v>
                </c:pt>
                <c:pt idx="429">
                  <c:v>5.6644756028512244</c:v>
                </c:pt>
                <c:pt idx="430">
                  <c:v>5.585962707272242</c:v>
                </c:pt>
                <c:pt idx="431">
                  <c:v>5.5073518916441433</c:v>
                </c:pt>
                <c:pt idx="432">
                  <c:v>5.4286442095580529</c:v>
                </c:pt>
                <c:pt idx="433">
                  <c:v>5.3498407263336238</c:v>
                </c:pt>
                <c:pt idx="434">
                  <c:v>5.2709425189945796</c:v>
                </c:pt>
                <c:pt idx="435">
                  <c:v>5.1919506762423726</c:v>
                </c:pt>
                <c:pt idx="436">
                  <c:v>5.112866298428278</c:v>
                </c:pt>
                <c:pt idx="437">
                  <c:v>5.0336904975235317</c:v>
                </c:pt>
                <c:pt idx="438">
                  <c:v>4.9544243970878243</c:v>
                </c:pt>
                <c:pt idx="439">
                  <c:v>4.8750691322359163</c:v>
                </c:pt>
                <c:pt idx="440">
                  <c:v>4.7956258496026871</c:v>
                </c:pt>
                <c:pt idx="441">
                  <c:v>4.7160957073062253</c:v>
                </c:pt>
                <c:pt idx="442">
                  <c:v>4.6364798749092895</c:v>
                </c:pt>
                <c:pt idx="443">
                  <c:v>4.5567795333788954</c:v>
                </c:pt>
                <c:pt idx="444">
                  <c:v>4.4769958750443388</c:v>
                </c:pt>
                <c:pt idx="445">
                  <c:v>4.3971301035532848</c:v>
                </c:pt>
                <c:pt idx="446">
                  <c:v>4.3171834338262327</c:v>
                </c:pt>
                <c:pt idx="447">
                  <c:v>4.2371570920091335</c:v>
                </c:pt>
                <c:pt idx="448">
                  <c:v>4.1570523154244441</c:v>
                </c:pt>
                <c:pt idx="449">
                  <c:v>4.0768703525202952</c:v>
                </c:pt>
                <c:pt idx="450">
                  <c:v>3.9966124628180402</c:v>
                </c:pt>
                <c:pt idx="451">
                  <c:v>3.9162799168579787</c:v>
                </c:pt>
                <c:pt idx="452">
                  <c:v>3.8358739961435671</c:v>
                </c:pt>
                <c:pt idx="453">
                  <c:v>3.755395993083753</c:v>
                </c:pt>
                <c:pt idx="454">
                  <c:v>3.674847210933724</c:v>
                </c:pt>
                <c:pt idx="455">
                  <c:v>3.5942289637338831</c:v>
                </c:pt>
                <c:pt idx="456">
                  <c:v>3.5135425762473305</c:v>
                </c:pt>
                <c:pt idx="457">
                  <c:v>3.432789383895511</c:v>
                </c:pt>
                <c:pt idx="458">
                  <c:v>3.35197073269233</c:v>
                </c:pt>
                <c:pt idx="459">
                  <c:v>3.2710879791765235</c:v>
                </c:pt>
                <c:pt idx="460">
                  <c:v>3.1901424903425899</c:v>
                </c:pt>
                <c:pt idx="461">
                  <c:v>3.1091356435699322</c:v>
                </c:pt>
                <c:pt idx="462">
                  <c:v>3.0280688265505171</c:v>
                </c:pt>
                <c:pt idx="463">
                  <c:v>2.946943437214844</c:v>
                </c:pt>
                <c:pt idx="464">
                  <c:v>2.8657608836565247</c:v>
                </c:pt>
                <c:pt idx="465">
                  <c:v>2.7845225840551358</c:v>
                </c:pt>
                <c:pt idx="466">
                  <c:v>2.70322996659764</c:v>
                </c:pt>
                <c:pt idx="467">
                  <c:v>2.6218844693981782</c:v>
                </c:pt>
                <c:pt idx="468">
                  <c:v>2.5404875404165406</c:v>
                </c:pt>
                <c:pt idx="469">
                  <c:v>2.4590406373749616</c:v>
                </c:pt>
                <c:pt idx="470">
                  <c:v>2.3775452276735627</c:v>
                </c:pt>
                <c:pt idx="471">
                  <c:v>2.2960027883042269</c:v>
                </c:pt>
                <c:pt idx="472">
                  <c:v>2.2144148057632198</c:v>
                </c:pt>
                <c:pt idx="473">
                  <c:v>2.1327827759622262</c:v>
                </c:pt>
                <c:pt idx="474">
                  <c:v>2.0511082041380044</c:v>
                </c:pt>
                <c:pt idx="475">
                  <c:v>1.9693926047608035</c:v>
                </c:pt>
                <c:pt idx="476">
                  <c:v>1.8876375014412534</c:v>
                </c:pt>
                <c:pt idx="477">
                  <c:v>1.8058444268360228</c:v>
                </c:pt>
                <c:pt idx="478">
                  <c:v>1.7240149225520469</c:v>
                </c:pt>
                <c:pt idx="479">
                  <c:v>1.6421505390496505</c:v>
                </c:pt>
                <c:pt idx="480">
                  <c:v>1.5602528355441789</c:v>
                </c:pt>
                <c:pt idx="481">
                  <c:v>1.4783233799065019</c:v>
                </c:pt>
                <c:pt idx="482">
                  <c:v>1.3963637485622566</c:v>
                </c:pt>
                <c:pt idx="483">
                  <c:v>1.3143755263898631</c:v>
                </c:pt>
                <c:pt idx="484">
                  <c:v>1.2323603066173729</c:v>
                </c:pt>
                <c:pt idx="485">
                  <c:v>1.1503196907181277</c:v>
                </c:pt>
                <c:pt idx="486">
                  <c:v>1.0682552883053031</c:v>
                </c:pt>
                <c:pt idx="487">
                  <c:v>0.98616871702530284</c:v>
                </c:pt>
                <c:pt idx="488">
                  <c:v>0.90406160245008516</c:v>
                </c:pt>
                <c:pt idx="489">
                  <c:v>0.82193557796839123</c:v>
                </c:pt>
                <c:pt idx="490">
                  <c:v>0.73979228467595037</c:v>
                </c:pt>
                <c:pt idx="491">
                  <c:v>0.65763337126463595</c:v>
                </c:pt>
                <c:pt idx="492">
                  <c:v>0.57546049391065013</c:v>
                </c:pt>
                <c:pt idx="493">
                  <c:v>0.49327531616170384</c:v>
                </c:pt>
                <c:pt idx="494">
                  <c:v>0.41107950882327809</c:v>
                </c:pt>
                <c:pt idx="495">
                  <c:v>0.32887474984393189</c:v>
                </c:pt>
                <c:pt idx="496">
                  <c:v>0.24666272419973836</c:v>
                </c:pt>
                <c:pt idx="497">
                  <c:v>0.16444512377782106</c:v>
                </c:pt>
                <c:pt idx="498">
                  <c:v>8.2223647259067695E-2</c:v>
                </c:pt>
                <c:pt idx="499">
                  <c:v>0</c:v>
                </c:pt>
              </c:numCache>
            </c:numRef>
          </c:xVal>
          <c:yVal>
            <c:numRef>
              <c:f>Main!$F$12:$F$511</c:f>
              <c:numCache>
                <c:formatCode>General</c:formatCode>
                <c:ptCount val="500"/>
                <c:pt idx="0">
                  <c:v>90</c:v>
                </c:pt>
                <c:pt idx="1">
                  <c:v>89.999879342543522</c:v>
                </c:pt>
                <c:pt idx="2">
                  <c:v>89.999516604844999</c:v>
                </c:pt>
                <c:pt idx="3">
                  <c:v>89.998910632855726</c:v>
                </c:pt>
                <c:pt idx="4">
                  <c:v>89.998060264407414</c:v>
                </c:pt>
                <c:pt idx="5">
                  <c:v>89.996964329154352</c:v>
                </c:pt>
                <c:pt idx="6">
                  <c:v>89.995621648515041</c:v>
                </c:pt>
                <c:pt idx="7">
                  <c:v>89.994031035613673</c:v>
                </c:pt>
                <c:pt idx="8">
                  <c:v>89.99219129522092</c:v>
                </c:pt>
                <c:pt idx="9">
                  <c:v>89.990101223694523</c:v>
                </c:pt>
                <c:pt idx="10">
                  <c:v>89.987759608919262</c:v>
                </c:pt>
                <c:pt idx="11">
                  <c:v>89.985165230246849</c:v>
                </c:pt>
                <c:pt idx="12">
                  <c:v>89.982316858435041</c:v>
                </c:pt>
                <c:pt idx="13">
                  <c:v>89.979213255586544</c:v>
                </c:pt>
                <c:pt idx="14">
                  <c:v>89.975853175087479</c:v>
                </c:pt>
                <c:pt idx="15">
                  <c:v>89.972235361545359</c:v>
                </c:pt>
                <c:pt idx="16">
                  <c:v>89.968358550726734</c:v>
                </c:pt>
                <c:pt idx="17">
                  <c:v>89.964221469494362</c:v>
                </c:pt>
                <c:pt idx="18">
                  <c:v>89.959822835743935</c:v>
                </c:pt>
                <c:pt idx="19">
                  <c:v>89.955161358340504</c:v>
                </c:pt>
                <c:pt idx="20">
                  <c:v>89.950235737054228</c:v>
                </c:pt>
                <c:pt idx="21">
                  <c:v>89.945044662495931</c:v>
                </c:pt>
                <c:pt idx="22">
                  <c:v>89.939586816052284</c:v>
                </c:pt>
                <c:pt idx="23">
                  <c:v>89.93386086982008</c:v>
                </c:pt>
                <c:pt idx="24">
                  <c:v>89.927865486540739</c:v>
                </c:pt>
                <c:pt idx="25">
                  <c:v>89.921599319533925</c:v>
                </c:pt>
                <c:pt idx="26">
                  <c:v>89.915061012630773</c:v>
                </c:pt>
                <c:pt idx="27">
                  <c:v>89.908249200106866</c:v>
                </c:pt>
                <c:pt idx="28">
                  <c:v>89.901162506614597</c:v>
                </c:pt>
                <c:pt idx="29">
                  <c:v>89.893799547115179</c:v>
                </c:pt>
                <c:pt idx="30">
                  <c:v>89.886158926810225</c:v>
                </c:pt>
                <c:pt idx="31">
                  <c:v>89.878239241072734</c:v>
                </c:pt>
                <c:pt idx="32">
                  <c:v>89.870039075377875</c:v>
                </c:pt>
                <c:pt idx="33">
                  <c:v>89.861557005233053</c:v>
                </c:pt>
                <c:pt idx="34">
                  <c:v>89.852791596107735</c:v>
                </c:pt>
                <c:pt idx="35">
                  <c:v>89.84374140336287</c:v>
                </c:pt>
                <c:pt idx="36">
                  <c:v>89.834404972179414</c:v>
                </c:pt>
                <c:pt idx="37">
                  <c:v>89.824780837487125</c:v>
                </c:pt>
                <c:pt idx="38">
                  <c:v>89.814867523892289</c:v>
                </c:pt>
                <c:pt idx="39">
                  <c:v>89.80466354560518</c:v>
                </c:pt>
                <c:pt idx="40">
                  <c:v>89.794167406367251</c:v>
                </c:pt>
                <c:pt idx="41">
                  <c:v>89.783377599377616</c:v>
                </c:pt>
                <c:pt idx="42">
                  <c:v>89.772292607219157</c:v>
                </c:pt>
                <c:pt idx="43">
                  <c:v>89.760910901784371</c:v>
                </c:pt>
                <c:pt idx="44">
                  <c:v>89.749230944200278</c:v>
                </c:pt>
                <c:pt idx="45">
                  <c:v>89.737251184753362</c:v>
                </c:pt>
                <c:pt idx="46">
                  <c:v>89.724970062813966</c:v>
                </c:pt>
                <c:pt idx="47">
                  <c:v>89.712386006759772</c:v>
                </c:pt>
                <c:pt idx="48">
                  <c:v>89.699497433899623</c:v>
                </c:pt>
                <c:pt idx="49">
                  <c:v>89.686302750395967</c:v>
                </c:pt>
                <c:pt idx="50">
                  <c:v>89.67280035118759</c:v>
                </c:pt>
                <c:pt idx="51">
                  <c:v>89.658988619911597</c:v>
                </c:pt>
                <c:pt idx="52">
                  <c:v>89.644865928824657</c:v>
                </c:pt>
                <c:pt idx="53">
                  <c:v>89.630430638724349</c:v>
                </c:pt>
                <c:pt idx="54">
                  <c:v>89.615681098869658</c:v>
                </c:pt>
                <c:pt idx="55">
                  <c:v>89.600615646900948</c:v>
                </c:pt>
                <c:pt idx="56">
                  <c:v>89.58523260875991</c:v>
                </c:pt>
                <c:pt idx="57">
                  <c:v>89.56953029860837</c:v>
                </c:pt>
                <c:pt idx="58">
                  <c:v>89.553507018747297</c:v>
                </c:pt>
                <c:pt idx="59">
                  <c:v>89.537161059535066</c:v>
                </c:pt>
                <c:pt idx="60">
                  <c:v>89.520490699305086</c:v>
                </c:pt>
                <c:pt idx="61">
                  <c:v>89.503494204283143</c:v>
                </c:pt>
                <c:pt idx="62">
                  <c:v>89.486169828504501</c:v>
                </c:pt>
                <c:pt idx="63">
                  <c:v>89.468515813729937</c:v>
                </c:pt>
                <c:pt idx="64">
                  <c:v>89.450530389362129</c:v>
                </c:pt>
                <c:pt idx="65">
                  <c:v>89.432211772360617</c:v>
                </c:pt>
                <c:pt idx="66">
                  <c:v>89.413558167157191</c:v>
                </c:pt>
                <c:pt idx="67">
                  <c:v>89.394567765570471</c:v>
                </c:pt>
                <c:pt idx="68">
                  <c:v>89.375238746719631</c:v>
                </c:pt>
                <c:pt idx="69">
                  <c:v>89.355569276938311</c:v>
                </c:pt>
                <c:pt idx="70">
                  <c:v>89.335557509687888</c:v>
                </c:pt>
                <c:pt idx="71">
                  <c:v>89.315201585469808</c:v>
                </c:pt>
                <c:pt idx="72">
                  <c:v>89.294499631738347</c:v>
                </c:pt>
                <c:pt idx="73">
                  <c:v>89.273449762811978</c:v>
                </c:pt>
                <c:pt idx="74">
                  <c:v>89.252050079784766</c:v>
                </c:pt>
                <c:pt idx="75">
                  <c:v>89.230298670437733</c:v>
                </c:pt>
                <c:pt idx="76">
                  <c:v>89.208193609148722</c:v>
                </c:pt>
                <c:pt idx="77">
                  <c:v>89.185732956802568</c:v>
                </c:pt>
                <c:pt idx="78">
                  <c:v>89.162914760701028</c:v>
                </c:pt>
                <c:pt idx="79">
                  <c:v>89.139737054471198</c:v>
                </c:pt>
                <c:pt idx="80">
                  <c:v>89.116197857974967</c:v>
                </c:pt>
                <c:pt idx="81">
                  <c:v>89.092295177216542</c:v>
                </c:pt>
                <c:pt idx="82">
                  <c:v>89.068027004250496</c:v>
                </c:pt>
                <c:pt idx="83">
                  <c:v>89.043391317089501</c:v>
                </c:pt>
                <c:pt idx="84">
                  <c:v>89.018386079610565</c:v>
                </c:pt>
                <c:pt idx="85">
                  <c:v>88.993009241461863</c:v>
                </c:pt>
                <c:pt idx="86">
                  <c:v>88.967258737969075</c:v>
                </c:pt>
                <c:pt idx="87">
                  <c:v>88.941132490040431</c:v>
                </c:pt>
                <c:pt idx="88">
                  <c:v>88.914628404072445</c:v>
                </c:pt>
                <c:pt idx="89">
                  <c:v>88.887744371854396</c:v>
                </c:pt>
                <c:pt idx="90">
                  <c:v>88.860478270472726</c:v>
                </c:pt>
                <c:pt idx="91">
                  <c:v>88.83282796221539</c:v>
                </c:pt>
                <c:pt idx="92">
                  <c:v>88.804791294474896</c:v>
                </c:pt>
                <c:pt idx="93">
                  <c:v>88.776366099651668</c:v>
                </c:pt>
                <c:pt idx="94">
                  <c:v>88.747550195057173</c:v>
                </c:pt>
                <c:pt idx="95">
                  <c:v>88.718341382815609</c:v>
                </c:pt>
                <c:pt idx="96">
                  <c:v>88.688737449766577</c:v>
                </c:pt>
                <c:pt idx="97">
                  <c:v>88.658736167366143</c:v>
                </c:pt>
                <c:pt idx="98">
                  <c:v>88.628335291588201</c:v>
                </c:pt>
                <c:pt idx="99">
                  <c:v>88.597532562825663</c:v>
                </c:pt>
                <c:pt idx="100">
                  <c:v>88.566325705790419</c:v>
                </c:pt>
                <c:pt idx="101">
                  <c:v>88.534712429413645</c:v>
                </c:pt>
                <c:pt idx="102">
                  <c:v>88.502690426745829</c:v>
                </c:pt>
                <c:pt idx="103">
                  <c:v>88.470257374855521</c:v>
                </c:pt>
                <c:pt idx="104">
                  <c:v>88.437410934729215</c:v>
                </c:pt>
                <c:pt idx="105">
                  <c:v>88.404148751169231</c:v>
                </c:pt>
                <c:pt idx="106">
                  <c:v>88.370468452692521</c:v>
                </c:pt>
                <c:pt idx="107">
                  <c:v>88.33636765142893</c:v>
                </c:pt>
                <c:pt idx="108">
                  <c:v>88.30184394301827</c:v>
                </c:pt>
                <c:pt idx="109">
                  <c:v>88.266894906508199</c:v>
                </c:pt>
                <c:pt idx="110">
                  <c:v>88.231518104251364</c:v>
                </c:pt>
                <c:pt idx="111">
                  <c:v>88.195711081801733</c:v>
                </c:pt>
                <c:pt idx="112">
                  <c:v>88.159471367811804</c:v>
                </c:pt>
                <c:pt idx="113">
                  <c:v>88.122796473928119</c:v>
                </c:pt>
                <c:pt idx="114">
                  <c:v>88.085683894687449</c:v>
                </c:pt>
                <c:pt idx="115">
                  <c:v>88.048131107412971</c:v>
                </c:pt>
                <c:pt idx="116">
                  <c:v>88.010135572108851</c:v>
                </c:pt>
                <c:pt idx="117">
                  <c:v>87.971694731355811</c:v>
                </c:pt>
                <c:pt idx="118">
                  <c:v>87.932806010206491</c:v>
                </c:pt>
                <c:pt idx="119">
                  <c:v>87.893466816079155</c:v>
                </c:pt>
                <c:pt idx="120">
                  <c:v>87.853674538653252</c:v>
                </c:pt>
                <c:pt idx="121">
                  <c:v>87.813426549762781</c:v>
                </c:pt>
                <c:pt idx="122">
                  <c:v>87.772720203290746</c:v>
                </c:pt>
                <c:pt idx="123">
                  <c:v>87.731552835063383</c:v>
                </c:pt>
                <c:pt idx="124">
                  <c:v>87.689921762743069</c:v>
                </c:pt>
                <c:pt idx="125">
                  <c:v>87.647824285722294</c:v>
                </c:pt>
                <c:pt idx="126">
                  <c:v>87.605257685017392</c:v>
                </c:pt>
                <c:pt idx="127">
                  <c:v>87.562219223160739</c:v>
                </c:pt>
                <c:pt idx="128">
                  <c:v>87.518706144095091</c:v>
                </c:pt>
                <c:pt idx="129">
                  <c:v>87.474715673065518</c:v>
                </c:pt>
                <c:pt idx="130">
                  <c:v>87.430245016512544</c:v>
                </c:pt>
                <c:pt idx="131">
                  <c:v>87.385291361965528</c:v>
                </c:pt>
                <c:pt idx="132">
                  <c:v>87.33985187793445</c:v>
                </c:pt>
                <c:pt idx="133">
                  <c:v>87.29392371380284</c:v>
                </c:pt>
                <c:pt idx="134">
                  <c:v>87.247503999720848</c:v>
                </c:pt>
                <c:pt idx="135">
                  <c:v>87.200589846496825</c:v>
                </c:pt>
                <c:pt idx="136">
                  <c:v>87.153178345490758</c:v>
                </c:pt>
                <c:pt idx="137">
                  <c:v>87.105266568505954</c:v>
                </c:pt>
                <c:pt idx="138">
                  <c:v>87.056851567681889</c:v>
                </c:pt>
                <c:pt idx="139">
                  <c:v>87.007930375387062</c:v>
                </c:pt>
                <c:pt idx="140">
                  <c:v>86.95850000411086</c:v>
                </c:pt>
                <c:pt idx="141">
                  <c:v>86.908557446356312</c:v>
                </c:pt>
                <c:pt idx="142">
                  <c:v>86.858099674533548</c:v>
                </c:pt>
                <c:pt idx="143">
                  <c:v>86.807123640851216</c:v>
                </c:pt>
                <c:pt idx="144">
                  <c:v>86.755626277210638</c:v>
                </c:pt>
                <c:pt idx="145">
                  <c:v>86.70360449509792</c:v>
                </c:pt>
                <c:pt idx="146">
                  <c:v>86.651055185477134</c:v>
                </c:pt>
                <c:pt idx="147">
                  <c:v>86.597975218684581</c:v>
                </c:pt>
                <c:pt idx="148">
                  <c:v>86.54436144432087</c:v>
                </c:pt>
                <c:pt idx="149">
                  <c:v>86.490210691145307</c:v>
                </c:pt>
                <c:pt idx="150">
                  <c:v>86.435519766970231</c:v>
                </c:pt>
                <c:pt idx="151">
                  <c:v>86.380285458554027</c:v>
                </c:pt>
                <c:pt idx="152">
                  <c:v>86.324504531496672</c:v>
                </c:pt>
                <c:pt idx="153">
                  <c:v>86.268173730133469</c:v>
                </c:pt>
                <c:pt idx="154">
                  <c:v>86.211289777430494</c:v>
                </c:pt>
                <c:pt idx="155">
                  <c:v>86.153849374880281</c:v>
                </c:pt>
                <c:pt idx="156">
                  <c:v>86.09584920239655</c:v>
                </c:pt>
                <c:pt idx="157">
                  <c:v>86.037285918210813</c:v>
                </c:pt>
                <c:pt idx="158">
                  <c:v>85.978156158769252</c:v>
                </c:pt>
                <c:pt idx="159">
                  <c:v>85.918456538628405</c:v>
                </c:pt>
                <c:pt idx="160">
                  <c:v>85.858183650353794</c:v>
                </c:pt>
                <c:pt idx="161">
                  <c:v>85.79733406441666</c:v>
                </c:pt>
                <c:pt idx="162">
                  <c:v>85.735904329092506</c:v>
                </c:pt>
                <c:pt idx="163">
                  <c:v>85.673890970360716</c:v>
                </c:pt>
                <c:pt idx="164">
                  <c:v>85.611290491802677</c:v>
                </c:pt>
                <c:pt idx="165">
                  <c:v>85.5480993745022</c:v>
                </c:pt>
                <c:pt idx="166">
                  <c:v>85.484314076946816</c:v>
                </c:pt>
                <c:pt idx="167">
                  <c:v>85.419931034927544</c:v>
                </c:pt>
                <c:pt idx="168">
                  <c:v>85.354946661442142</c:v>
                </c:pt>
                <c:pt idx="169">
                  <c:v>85.289357346596574</c:v>
                </c:pt>
                <c:pt idx="170">
                  <c:v>85.223159457508643</c:v>
                </c:pt>
                <c:pt idx="171">
                  <c:v>85.15634933821265</c:v>
                </c:pt>
                <c:pt idx="172">
                  <c:v>85.088923309563086</c:v>
                </c:pt>
                <c:pt idx="173">
                  <c:v>85.020877669140773</c:v>
                </c:pt>
                <c:pt idx="174">
                  <c:v>84.952208691160038</c:v>
                </c:pt>
                <c:pt idx="175">
                  <c:v>84.882912626374548</c:v>
                </c:pt>
                <c:pt idx="176">
                  <c:v>84.812985701987358</c:v>
                </c:pt>
                <c:pt idx="177">
                  <c:v>84.742424121558656</c:v>
                </c:pt>
                <c:pt idx="178">
                  <c:v>84.671224064916515</c:v>
                </c:pt>
                <c:pt idx="179">
                  <c:v>84.599381688068917</c:v>
                </c:pt>
                <c:pt idx="180">
                  <c:v>84.526893123114746</c:v>
                </c:pt>
                <c:pt idx="181">
                  <c:v>84.453754478157776</c:v>
                </c:pt>
                <c:pt idx="182">
                  <c:v>84.379961837221828</c:v>
                </c:pt>
                <c:pt idx="183">
                  <c:v>84.30551126016519</c:v>
                </c:pt>
                <c:pt idx="184">
                  <c:v>84.230398782598868</c:v>
                </c:pt>
                <c:pt idx="185">
                  <c:v>84.154620415803578</c:v>
                </c:pt>
                <c:pt idx="186">
                  <c:v>84.078172146649763</c:v>
                </c:pt>
                <c:pt idx="187">
                  <c:v>84.0010499375189</c:v>
                </c:pt>
                <c:pt idx="188">
                  <c:v>83.923249726224412</c:v>
                </c:pt>
                <c:pt idx="189">
                  <c:v>83.84476742593597</c:v>
                </c:pt>
                <c:pt idx="190">
                  <c:v>83.765598925105024</c:v>
                </c:pt>
                <c:pt idx="191">
                  <c:v>83.685740087389917</c:v>
                </c:pt>
                <c:pt idx="192">
                  <c:v>83.605186751585563</c:v>
                </c:pt>
                <c:pt idx="193">
                  <c:v>83.523934731551691</c:v>
                </c:pt>
                <c:pt idx="194">
                  <c:v>83.441979816144567</c:v>
                </c:pt>
                <c:pt idx="195">
                  <c:v>83.359317769150849</c:v>
                </c:pt>
                <c:pt idx="196">
                  <c:v>83.275944329220835</c:v>
                </c:pt>
                <c:pt idx="197">
                  <c:v>83.191855209805425</c:v>
                </c:pt>
                <c:pt idx="198">
                  <c:v>83.107046099095328</c:v>
                </c:pt>
                <c:pt idx="199">
                  <c:v>83.02151265995937</c:v>
                </c:pt>
                <c:pt idx="200">
                  <c:v>82.935250529888549</c:v>
                </c:pt>
                <c:pt idx="201">
                  <c:v>82.848255320938279</c:v>
                </c:pt>
                <c:pt idx="202">
                  <c:v>82.760522619675299</c:v>
                </c:pt>
                <c:pt idx="203">
                  <c:v>82.672047987126263</c:v>
                </c:pt>
                <c:pt idx="204">
                  <c:v>82.582826958726798</c:v>
                </c:pt>
                <c:pt idx="205">
                  <c:v>82.492855044274393</c:v>
                </c:pt>
                <c:pt idx="206">
                  <c:v>82.402127727883894</c:v>
                </c:pt>
                <c:pt idx="207">
                  <c:v>82.310640467942704</c:v>
                </c:pt>
                <c:pt idx="208">
                  <c:v>82.218388697071958</c:v>
                </c:pt>
                <c:pt idx="209">
                  <c:v>82.12536782208646</c:v>
                </c:pt>
                <c:pt idx="210">
                  <c:v>82.031573223959541</c:v>
                </c:pt>
                <c:pt idx="211">
                  <c:v>81.937000257790459</c:v>
                </c:pt>
                <c:pt idx="212">
                  <c:v>81.841644252771985</c:v>
                </c:pt>
                <c:pt idx="213">
                  <c:v>81.745500512163019</c:v>
                </c:pt>
                <c:pt idx="214">
                  <c:v>81.648564313263932</c:v>
                </c:pt>
                <c:pt idx="215">
                  <c:v>81.550830907391841</c:v>
                </c:pt>
                <c:pt idx="216">
                  <c:v>81.452295519862872</c:v>
                </c:pt>
                <c:pt idx="217">
                  <c:v>81.352953349973205</c:v>
                </c:pt>
                <c:pt idx="218">
                  <c:v>81.252799570985644</c:v>
                </c:pt>
                <c:pt idx="219">
                  <c:v>81.151829330119483</c:v>
                </c:pt>
                <c:pt idx="220">
                  <c:v>81.050037748540561</c:v>
                </c:pt>
                <c:pt idx="221">
                  <c:v>80.947419921357209</c:v>
                </c:pt>
                <c:pt idx="222">
                  <c:v>80.843970917619373</c:v>
                </c:pt>
                <c:pt idx="223">
                  <c:v>80.739685780318041</c:v>
                </c:pt>
                <c:pt idx="224">
                  <c:v>80.634559526392422</c:v>
                </c:pt>
                <c:pt idx="225">
                  <c:v>80.528587146736001</c:v>
                </c:pt>
                <c:pt idx="226">
                  <c:v>80.421763606209254</c:v>
                </c:pt>
                <c:pt idx="227">
                  <c:v>80.314083843655567</c:v>
                </c:pt>
                <c:pt idx="228">
                  <c:v>80.205542771918346</c:v>
                </c:pt>
                <c:pt idx="229">
                  <c:v>80.096135277864335</c:v>
                </c:pt>
                <c:pt idx="230">
                  <c:v>79.98585622241076</c:v>
                </c:pt>
                <c:pt idx="231">
                  <c:v>79.874700440553227</c:v>
                </c:pt>
                <c:pt idx="232">
                  <c:v>79.762662741402011</c:v>
                </c:pt>
                <c:pt idx="233">
                  <c:v>79.649737908217915</c:v>
                </c:pt>
                <c:pt idx="234">
                  <c:v>79.535920698454987</c:v>
                </c:pt>
                <c:pt idx="235">
                  <c:v>79.421205843807456</c:v>
                </c:pt>
                <c:pt idx="236">
                  <c:v>79.30558805025818</c:v>
                </c:pt>
                <c:pt idx="237">
                  <c:v>79.189061998133951</c:v>
                </c:pt>
                <c:pt idx="238">
                  <c:v>79.071622342165313</c:v>
                </c:pt>
                <c:pt idx="239">
                  <c:v>78.953263711547407</c:v>
                </c:pt>
                <c:pt idx="240">
                  <c:v>78.833980710010508</c:v>
                </c:pt>
                <c:pt idx="241">
                  <c:v>78.713767915889747</c:v>
                </c:pt>
                <c:pt idx="242">
                  <c:v>78.592619882203337</c:v>
                </c:pt>
                <c:pt idx="243">
                  <c:v>78.470531136734863</c:v>
                </c:pt>
                <c:pt idx="244">
                  <c:v>78.347496182118078</c:v>
                </c:pt>
                <c:pt idx="245">
                  <c:v>78.223509495929207</c:v>
                </c:pt>
                <c:pt idx="246">
                  <c:v>78.0985655307841</c:v>
                </c:pt>
                <c:pt idx="247">
                  <c:v>77.972658714437571</c:v>
                </c:pt>
                <c:pt idx="248">
                  <c:v>77.845783449892423</c:v>
                </c:pt>
                <c:pt idx="249">
                  <c:v>77.717934115508911</c:v>
                </c:pt>
                <c:pt idx="250">
                  <c:v>77.589105065122851</c:v>
                </c:pt>
                <c:pt idx="251">
                  <c:v>77.459290628169015</c:v>
                </c:pt>
                <c:pt idx="252">
                  <c:v>77.328485109807104</c:v>
                </c:pt>
                <c:pt idx="253">
                  <c:v>77.196682791056219</c:v>
                </c:pt>
                <c:pt idx="254">
                  <c:v>77.063877928934971</c:v>
                </c:pt>
                <c:pt idx="255">
                  <c:v>76.930064756604054</c:v>
                </c:pt>
                <c:pt idx="256">
                  <c:v>76.795237483519543</c:v>
                </c:pt>
                <c:pt idx="257">
                  <c:v>76.659390295587158</c:v>
                </c:pt>
                <c:pt idx="258">
                  <c:v>76.522517355325732</c:v>
                </c:pt>
                <c:pt idx="259">
                  <c:v>76.384612802037125</c:v>
                </c:pt>
                <c:pt idx="260">
                  <c:v>76.245670751978679</c:v>
                </c:pt>
                <c:pt idx="261">
                  <c:v>76.105685298545438</c:v>
                </c:pt>
                <c:pt idx="262">
                  <c:v>75.964650512458689</c:v>
                </c:pt>
                <c:pt idx="263">
                  <c:v>75.82256044195708</c:v>
                </c:pt>
                <c:pt idx="264">
                  <c:v>75.67940911300002</c:v>
                </c:pt>
                <c:pt idx="265">
                  <c:v>75.535190529471976</c:v>
                </c:pt>
                <c:pt idx="266">
                  <c:v>75.389898673397198</c:v>
                </c:pt>
                <c:pt idx="267">
                  <c:v>75.243527505161296</c:v>
                </c:pt>
                <c:pt idx="268">
                  <c:v>75.096070963736196</c:v>
                </c:pt>
                <c:pt idx="269">
                  <c:v>74.947522966915514</c:v>
                </c:pt>
                <c:pt idx="270">
                  <c:v>74.797877411557096</c:v>
                </c:pt>
                <c:pt idx="271">
                  <c:v>74.647128173828506</c:v>
                </c:pt>
                <c:pt idx="272">
                  <c:v>74.495269109466051</c:v>
                </c:pt>
                <c:pt idx="273">
                  <c:v>74.342294054034724</c:v>
                </c:pt>
                <c:pt idx="274">
                  <c:v>74.188196823199917</c:v>
                </c:pt>
                <c:pt idx="275">
                  <c:v>74.032971213006306</c:v>
                </c:pt>
                <c:pt idx="276">
                  <c:v>73.876611000161034</c:v>
                </c:pt>
                <c:pt idx="277">
                  <c:v>73.71910994232779</c:v>
                </c:pt>
                <c:pt idx="278">
                  <c:v>73.560461778429044</c:v>
                </c:pt>
                <c:pt idx="279">
                  <c:v>73.400660228951693</c:v>
                </c:pt>
                <c:pt idx="280">
                  <c:v>73.239698996267038</c:v>
                </c:pt>
                <c:pt idx="281">
                  <c:v>73.077571764952495</c:v>
                </c:pt>
                <c:pt idx="282">
                  <c:v>72.914272202125474</c:v>
                </c:pt>
                <c:pt idx="283">
                  <c:v>72.749793957785485</c:v>
                </c:pt>
                <c:pt idx="284">
                  <c:v>72.584130665160927</c:v>
                </c:pt>
                <c:pt idx="285">
                  <c:v>72.417275941068212</c:v>
                </c:pt>
                <c:pt idx="286">
                  <c:v>72.249223386277251</c:v>
                </c:pt>
                <c:pt idx="287">
                  <c:v>72.079966585885956</c:v>
                </c:pt>
                <c:pt idx="288">
                  <c:v>71.909499109703233</c:v>
                </c:pt>
                <c:pt idx="289">
                  <c:v>71.737814512640725</c:v>
                </c:pt>
                <c:pt idx="290">
                  <c:v>71.564906335113506</c:v>
                </c:pt>
                <c:pt idx="291">
                  <c:v>71.390768103449176</c:v>
                </c:pt>
                <c:pt idx="292">
                  <c:v>71.215393330306469</c:v>
                </c:pt>
                <c:pt idx="293">
                  <c:v>71.038775515102117</c:v>
                </c:pt>
                <c:pt idx="294">
                  <c:v>70.860908144447649</c:v>
                </c:pt>
                <c:pt idx="295">
                  <c:v>70.681784692594675</c:v>
                </c:pt>
                <c:pt idx="296">
                  <c:v>70.501398621889749</c:v>
                </c:pt>
                <c:pt idx="297">
                  <c:v>70.319743383238247</c:v>
                </c:pt>
                <c:pt idx="298">
                  <c:v>70.136812416578067</c:v>
                </c:pt>
                <c:pt idx="299">
                  <c:v>69.952599151362392</c:v>
                </c:pt>
                <c:pt idx="300">
                  <c:v>69.767097007052186</c:v>
                </c:pt>
                <c:pt idx="301">
                  <c:v>69.580299393617963</c:v>
                </c:pt>
                <c:pt idx="302">
                  <c:v>69.392199712051791</c:v>
                </c:pt>
                <c:pt idx="303">
                  <c:v>69.202791354888461</c:v>
                </c:pt>
                <c:pt idx="304">
                  <c:v>69.012067706736786</c:v>
                </c:pt>
                <c:pt idx="305">
                  <c:v>68.82002214482047</c:v>
                </c:pt>
                <c:pt idx="306">
                  <c:v>68.626648039529186</c:v>
                </c:pt>
                <c:pt idx="307">
                  <c:v>68.431938754979569</c:v>
                </c:pt>
                <c:pt idx="308">
                  <c:v>68.235887649585862</c:v>
                </c:pt>
                <c:pt idx="309">
                  <c:v>68.038488076641315</c:v>
                </c:pt>
                <c:pt idx="310">
                  <c:v>67.839733384909124</c:v>
                </c:pt>
                <c:pt idx="311">
                  <c:v>67.639616919223926</c:v>
                </c:pt>
                <c:pt idx="312">
                  <c:v>67.438132021103215</c:v>
                </c:pt>
                <c:pt idx="313">
                  <c:v>67.235272029369497</c:v>
                </c:pt>
                <c:pt idx="314">
                  <c:v>67.031030280782446</c:v>
                </c:pt>
                <c:pt idx="315">
                  <c:v>66.825400110681528</c:v>
                </c:pt>
                <c:pt idx="316">
                  <c:v>66.618374853638855</c:v>
                </c:pt>
                <c:pt idx="317">
                  <c:v>66.409947844123096</c:v>
                </c:pt>
                <c:pt idx="318">
                  <c:v>66.200112417173216</c:v>
                </c:pt>
                <c:pt idx="319">
                  <c:v>65.988861909083099</c:v>
                </c:pt>
                <c:pt idx="320">
                  <c:v>65.77618965809657</c:v>
                </c:pt>
                <c:pt idx="321">
                  <c:v>65.562089005113336</c:v>
                </c:pt>
                <c:pt idx="322">
                  <c:v>65.346553294405155</c:v>
                </c:pt>
                <c:pt idx="323">
                  <c:v>65.129575874342891</c:v>
                </c:pt>
                <c:pt idx="324">
                  <c:v>64.91115009813403</c:v>
                </c:pt>
                <c:pt idx="325">
                  <c:v>64.691269324571294</c:v>
                </c:pt>
                <c:pt idx="326">
                  <c:v>64.469926918791529</c:v>
                </c:pt>
                <c:pt idx="327">
                  <c:v>64.247116253045505</c:v>
                </c:pt>
                <c:pt idx="328">
                  <c:v>64.022830707478334</c:v>
                </c:pt>
                <c:pt idx="329">
                  <c:v>63.79706367092092</c:v>
                </c:pt>
                <c:pt idx="330">
                  <c:v>63.569808541691742</c:v>
                </c:pt>
                <c:pt idx="331">
                  <c:v>63.341058728409749</c:v>
                </c:pt>
                <c:pt idx="332">
                  <c:v>63.110807650817492</c:v>
                </c:pt>
                <c:pt idx="333">
                  <c:v>62.879048740615744</c:v>
                </c:pt>
                <c:pt idx="334">
                  <c:v>62.645775442308107</c:v>
                </c:pt>
                <c:pt idx="335">
                  <c:v>62.410981214056804</c:v>
                </c:pt>
                <c:pt idx="336">
                  <c:v>62.174659528548702</c:v>
                </c:pt>
                <c:pt idx="337">
                  <c:v>61.936803873872762</c:v>
                </c:pt>
                <c:pt idx="338">
                  <c:v>61.697407754407322</c:v>
                </c:pt>
                <c:pt idx="339">
                  <c:v>61.456464691718594</c:v>
                </c:pt>
                <c:pt idx="340">
                  <c:v>61.213968225469202</c:v>
                </c:pt>
                <c:pt idx="341">
                  <c:v>60.969911914338027</c:v>
                </c:pt>
                <c:pt idx="342">
                  <c:v>60.724289336949894</c:v>
                </c:pt>
                <c:pt idx="343">
                  <c:v>60.477094092816131</c:v>
                </c:pt>
                <c:pt idx="344">
                  <c:v>60.228319803285203</c:v>
                </c:pt>
                <c:pt idx="345">
                  <c:v>59.977960112504292</c:v>
                </c:pt>
                <c:pt idx="346">
                  <c:v>59.726008688390735</c:v>
                </c:pt>
                <c:pt idx="347">
                  <c:v>59.472459223613882</c:v>
                </c:pt>
                <c:pt idx="348">
                  <c:v>59.21730543658704</c:v>
                </c:pt>
                <c:pt idx="349">
                  <c:v>58.960541072470036</c:v>
                </c:pt>
                <c:pt idx="350">
                  <c:v>58.702159904181215</c:v>
                </c:pt>
                <c:pt idx="351">
                  <c:v>58.442155733420037</c:v>
                </c:pt>
                <c:pt idx="352">
                  <c:v>58.18052239169883</c:v>
                </c:pt>
                <c:pt idx="353">
                  <c:v>57.91725374138548</c:v>
                </c:pt>
                <c:pt idx="354">
                  <c:v>57.652343676754839</c:v>
                </c:pt>
                <c:pt idx="355">
                  <c:v>57.385786125050544</c:v>
                </c:pt>
                <c:pt idx="356">
                  <c:v>57.117575047555576</c:v>
                </c:pt>
                <c:pt idx="357">
                  <c:v>56.847704440673439</c:v>
                </c:pt>
                <c:pt idx="358">
                  <c:v>56.576168337017691</c:v>
                </c:pt>
                <c:pt idx="359">
                  <c:v>56.302960806511209</c:v>
                </c:pt>
                <c:pt idx="360">
                  <c:v>56.028075957494352</c:v>
                </c:pt>
                <c:pt idx="361">
                  <c:v>55.751507937842533</c:v>
                </c:pt>
                <c:pt idx="362">
                  <c:v>55.473250936092384</c:v>
                </c:pt>
                <c:pt idx="363">
                  <c:v>55.193299182576496</c:v>
                </c:pt>
                <c:pt idx="364">
                  <c:v>54.911646950567459</c:v>
                </c:pt>
                <c:pt idx="365">
                  <c:v>54.628288557429798</c:v>
                </c:pt>
                <c:pt idx="366">
                  <c:v>54.343218365780501</c:v>
                </c:pt>
                <c:pt idx="367">
                  <c:v>54.056430784657834</c:v>
                </c:pt>
                <c:pt idx="368">
                  <c:v>53.767920270697971</c:v>
                </c:pt>
                <c:pt idx="369">
                  <c:v>53.47768132931995</c:v>
                </c:pt>
                <c:pt idx="370">
                  <c:v>53.185708515918037</c:v>
                </c:pt>
                <c:pt idx="371">
                  <c:v>52.891996437061607</c:v>
                </c:pt>
                <c:pt idx="372">
                  <c:v>52.596539751702963</c:v>
                </c:pt>
                <c:pt idx="373">
                  <c:v>52.299333172391798</c:v>
                </c:pt>
                <c:pt idx="374">
                  <c:v>52.000371466497114</c:v>
                </c:pt>
                <c:pt idx="375">
                  <c:v>51.699649457435896</c:v>
                </c:pt>
                <c:pt idx="376">
                  <c:v>51.397162025908244</c:v>
                </c:pt>
                <c:pt idx="377">
                  <c:v>51.09290411113966</c:v>
                </c:pt>
                <c:pt idx="378">
                  <c:v>50.78687071212903</c:v>
                </c:pt>
                <c:pt idx="379">
                  <c:v>50.479056888902676</c:v>
                </c:pt>
                <c:pt idx="380">
                  <c:v>50.169457763774943</c:v>
                </c:pt>
                <c:pt idx="381">
                  <c:v>49.858068522613905</c:v>
                </c:pt>
                <c:pt idx="382">
                  <c:v>49.544884416112694</c:v>
                </c:pt>
                <c:pt idx="383">
                  <c:v>49.229900761066148</c:v>
                </c:pt>
                <c:pt idx="384">
                  <c:v>48.91311294165223</c:v>
                </c:pt>
                <c:pt idx="385">
                  <c:v>48.594516410718882</c:v>
                </c:pt>
                <c:pt idx="386">
                  <c:v>48.274106691074735</c:v>
                </c:pt>
                <c:pt idx="387">
                  <c:v>47.951879376784461</c:v>
                </c:pt>
                <c:pt idx="388">
                  <c:v>47.627830134468155</c:v>
                </c:pt>
                <c:pt idx="389">
                  <c:v>47.301954704604839</c:v>
                </c:pt>
                <c:pt idx="390">
                  <c:v>46.974248902839122</c:v>
                </c:pt>
                <c:pt idx="391">
                  <c:v>46.644708621291386</c:v>
                </c:pt>
                <c:pt idx="392">
                  <c:v>46.313329829871066</c:v>
                </c:pt>
                <c:pt idx="393">
                  <c:v>45.980108577592887</c:v>
                </c:pt>
                <c:pt idx="394">
                  <c:v>45.645040993895407</c:v>
                </c:pt>
                <c:pt idx="395">
                  <c:v>45.308123289961969</c:v>
                </c:pt>
                <c:pt idx="396">
                  <c:v>44.969351760043452</c:v>
                </c:pt>
                <c:pt idx="397">
                  <c:v>44.62872278278337</c:v>
                </c:pt>
                <c:pt idx="398">
                  <c:v>44.286232822543496</c:v>
                </c:pt>
                <c:pt idx="399">
                  <c:v>43.941878430731663</c:v>
                </c:pt>
                <c:pt idx="400">
                  <c:v>43.595656247129199</c:v>
                </c:pt>
                <c:pt idx="401">
                  <c:v>43.24756300122047</c:v>
                </c:pt>
                <c:pt idx="402">
                  <c:v>42.897595513521338</c:v>
                </c:pt>
                <c:pt idx="403">
                  <c:v>42.545750696908499</c:v>
                </c:pt>
                <c:pt idx="404">
                  <c:v>42.192025557947773</c:v>
                </c:pt>
                <c:pt idx="405">
                  <c:v>41.836417198222705</c:v>
                </c:pt>
                <c:pt idx="406">
                  <c:v>41.478922815661321</c:v>
                </c:pt>
                <c:pt idx="407">
                  <c:v>41.119539705862366</c:v>
                </c:pt>
                <c:pt idx="408">
                  <c:v>40.758265263419162</c:v>
                </c:pt>
                <c:pt idx="409">
                  <c:v>40.395096983242638</c:v>
                </c:pt>
                <c:pt idx="410">
                  <c:v>40.03003246188149</c:v>
                </c:pt>
                <c:pt idx="411">
                  <c:v>39.663069398839781</c:v>
                </c:pt>
                <c:pt idx="412">
                  <c:v>39.29420559789196</c:v>
                </c:pt>
                <c:pt idx="413">
                  <c:v>38.923438968394976</c:v>
                </c:pt>
                <c:pt idx="414">
                  <c:v>38.550767526596189</c:v>
                </c:pt>
                <c:pt idx="415">
                  <c:v>38.176189396938298</c:v>
                </c:pt>
                <c:pt idx="416">
                  <c:v>37.79970281335909</c:v>
                </c:pt>
                <c:pt idx="417">
                  <c:v>37.421306120587985</c:v>
                </c:pt>
                <c:pt idx="418">
                  <c:v>37.040997775436807</c:v>
                </c:pt>
                <c:pt idx="419">
                  <c:v>36.658776348085411</c:v>
                </c:pt>
                <c:pt idx="420">
                  <c:v>36.274640523362564</c:v>
                </c:pt>
                <c:pt idx="421">
                  <c:v>35.888589102020205</c:v>
                </c:pt>
                <c:pt idx="422">
                  <c:v>35.500621002002077</c:v>
                </c:pt>
                <c:pt idx="423">
                  <c:v>35.110735259705137</c:v>
                </c:pt>
                <c:pt idx="424">
                  <c:v>34.718931031235144</c:v>
                </c:pt>
                <c:pt idx="425">
                  <c:v>34.32520759365417</c:v>
                </c:pt>
                <c:pt idx="426">
                  <c:v>33.929564346220957</c:v>
                </c:pt>
                <c:pt idx="427">
                  <c:v>33.53200081162305</c:v>
                </c:pt>
                <c:pt idx="428">
                  <c:v>33.132516637201263</c:v>
                </c:pt>
                <c:pt idx="429">
                  <c:v>32.731111596165135</c:v>
                </c:pt>
                <c:pt idx="430">
                  <c:v>32.327785588799543</c:v>
                </c:pt>
                <c:pt idx="431">
                  <c:v>31.922538643661767</c:v>
                </c:pt>
                <c:pt idx="432">
                  <c:v>31.515370918769719</c:v>
                </c:pt>
                <c:pt idx="433">
                  <c:v>31.106282702779396</c:v>
                </c:pt>
                <c:pt idx="434">
                  <c:v>30.695274416152614</c:v>
                </c:pt>
                <c:pt idx="435">
                  <c:v>30.282346612313177</c:v>
                </c:pt>
                <c:pt idx="436">
                  <c:v>29.867499978793603</c:v>
                </c:pt>
                <c:pt idx="437">
                  <c:v>29.450735338369043</c:v>
                </c:pt>
                <c:pt idx="438">
                  <c:v>29.032053650180245</c:v>
                </c:pt>
                <c:pt idx="439">
                  <c:v>28.611456010844222</c:v>
                </c:pt>
                <c:pt idx="440">
                  <c:v>28.188943655553032</c:v>
                </c:pt>
                <c:pt idx="441">
                  <c:v>27.764517959159292</c:v>
                </c:pt>
                <c:pt idx="442">
                  <c:v>27.33818043724915</c:v>
                </c:pt>
                <c:pt idx="443">
                  <c:v>26.909932747201225</c:v>
                </c:pt>
                <c:pt idx="444">
                  <c:v>26.479776689233034</c:v>
                </c:pt>
                <c:pt idx="445">
                  <c:v>26.047714207432193</c:v>
                </c:pt>
                <c:pt idx="446">
                  <c:v>25.61374739077408</c:v>
                </c:pt>
                <c:pt idx="447">
                  <c:v>25.177878474124157</c:v>
                </c:pt>
                <c:pt idx="448">
                  <c:v>24.74010983922625</c:v>
                </c:pt>
                <c:pt idx="449">
                  <c:v>24.300444015674714</c:v>
                </c:pt>
                <c:pt idx="450">
                  <c:v>23.858883681871419</c:v>
                </c:pt>
                <c:pt idx="451">
                  <c:v>23.415431665966253</c:v>
                </c:pt>
                <c:pt idx="452">
                  <c:v>22.970090946782449</c:v>
                </c:pt>
                <c:pt idx="453">
                  <c:v>22.522864654724316</c:v>
                </c:pt>
                <c:pt idx="454">
                  <c:v>22.073756072668743</c:v>
                </c:pt>
                <c:pt idx="455">
                  <c:v>21.622768636839112</c:v>
                </c:pt>
                <c:pt idx="456">
                  <c:v>21.169905937662378</c:v>
                </c:pt>
                <c:pt idx="457">
                  <c:v>20.715171720607998</c:v>
                </c:pt>
                <c:pt idx="458">
                  <c:v>20.258569887008946</c:v>
                </c:pt>
                <c:pt idx="459">
                  <c:v>19.800104494864144</c:v>
                </c:pt>
                <c:pt idx="460">
                  <c:v>19.339779759623241</c:v>
                </c:pt>
                <c:pt idx="461">
                  <c:v>18.877600054951444</c:v>
                </c:pt>
                <c:pt idx="462">
                  <c:v>18.413569913475982</c:v>
                </c:pt>
                <c:pt idx="463">
                  <c:v>17.947694027512597</c:v>
                </c:pt>
                <c:pt idx="464">
                  <c:v>17.479977249773299</c:v>
                </c:pt>
                <c:pt idx="465">
                  <c:v>17.010424594053205</c:v>
                </c:pt>
                <c:pt idx="466">
                  <c:v>16.539041235898054</c:v>
                </c:pt>
                <c:pt idx="467">
                  <c:v>16.065832513250513</c:v>
                </c:pt>
                <c:pt idx="468">
                  <c:v>15.590803927076934</c:v>
                </c:pt>
                <c:pt idx="469">
                  <c:v>15.113961141972283</c:v>
                </c:pt>
                <c:pt idx="470">
                  <c:v>14.635309986744574</c:v>
                </c:pt>
                <c:pt idx="471">
                  <c:v>14.154856454977335</c:v>
                </c:pt>
                <c:pt idx="472">
                  <c:v>13.672606705571582</c:v>
                </c:pt>
                <c:pt idx="473">
                  <c:v>13.188567063265197</c:v>
                </c:pt>
                <c:pt idx="474">
                  <c:v>12.702744019130279</c:v>
                </c:pt>
                <c:pt idx="475">
                  <c:v>12.215144231049322</c:v>
                </c:pt>
                <c:pt idx="476">
                  <c:v>11.725774524167917</c:v>
                </c:pt>
                <c:pt idx="477">
                  <c:v>11.234641891325793</c:v>
                </c:pt>
                <c:pt idx="478">
                  <c:v>10.741753493464188</c:v>
                </c:pt>
                <c:pt idx="479">
                  <c:v>10.24711666001167</c:v>
                </c:pt>
                <c:pt idx="480">
                  <c:v>9.7507388892455822</c:v>
                </c:pt>
                <c:pt idx="481">
                  <c:v>9.2526278486310503</c:v>
                </c:pt>
                <c:pt idx="482">
                  <c:v>8.7527913751363258</c:v>
                </c:pt>
                <c:pt idx="483">
                  <c:v>8.2512374755247038</c:v>
                </c:pt>
                <c:pt idx="484">
                  <c:v>7.7479743266227104</c:v>
                </c:pt>
                <c:pt idx="485">
                  <c:v>7.2430102755644441</c:v>
                </c:pt>
                <c:pt idx="486">
                  <c:v>6.7363538400120149</c:v>
                </c:pt>
                <c:pt idx="487">
                  <c:v>6.2280137083520231</c:v>
                </c:pt>
                <c:pt idx="488">
                  <c:v>5.7179987398676246</c:v>
                </c:pt>
                <c:pt idx="489">
                  <c:v>5.2063179648864377</c:v>
                </c:pt>
                <c:pt idx="490">
                  <c:v>4.6929805849041486</c:v>
                </c:pt>
                <c:pt idx="491">
                  <c:v>4.1779959726832772</c:v>
                </c:pt>
                <c:pt idx="492">
                  <c:v>3.6613736723278123</c:v>
                </c:pt>
                <c:pt idx="493">
                  <c:v>3.1431233993327794</c:v>
                </c:pt>
                <c:pt idx="494">
                  <c:v>2.623255040609223</c:v>
                </c:pt>
                <c:pt idx="495">
                  <c:v>2.1017786544844057</c:v>
                </c:pt>
                <c:pt idx="496">
                  <c:v>1.578704470677053</c:v>
                </c:pt>
                <c:pt idx="497">
                  <c:v>1.0540428902476151</c:v>
                </c:pt>
                <c:pt idx="498">
                  <c:v>0.52780448552363168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A3-4AB9-8FEC-B3A4BF95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　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[1]Main!$B$12:$B$1011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28</c:v>
                      </c:pt>
                      <c:pt idx="1">
                        <c:v>27.943887775551101</c:v>
                      </c:pt>
                      <c:pt idx="2">
                        <c:v>27.887775551102205</c:v>
                      </c:pt>
                      <c:pt idx="3">
                        <c:v>27.831663326653306</c:v>
                      </c:pt>
                      <c:pt idx="4">
                        <c:v>27.77555110220441</c:v>
                      </c:pt>
                      <c:pt idx="5">
                        <c:v>27.719438877755511</c:v>
                      </c:pt>
                      <c:pt idx="6">
                        <c:v>27.663326653306612</c:v>
                      </c:pt>
                      <c:pt idx="7">
                        <c:v>27.607214428857716</c:v>
                      </c:pt>
                      <c:pt idx="8">
                        <c:v>27.551102204408817</c:v>
                      </c:pt>
                      <c:pt idx="9">
                        <c:v>27.494989979959918</c:v>
                      </c:pt>
                      <c:pt idx="10">
                        <c:v>27.438877755511022</c:v>
                      </c:pt>
                      <c:pt idx="11">
                        <c:v>27.382765531062123</c:v>
                      </c:pt>
                      <c:pt idx="12">
                        <c:v>27.326653306613228</c:v>
                      </c:pt>
                      <c:pt idx="13">
                        <c:v>27.270541082164328</c:v>
                      </c:pt>
                      <c:pt idx="14">
                        <c:v>27.214428857715429</c:v>
                      </c:pt>
                      <c:pt idx="15">
                        <c:v>27.158316633266534</c:v>
                      </c:pt>
                      <c:pt idx="16">
                        <c:v>27.102204408817634</c:v>
                      </c:pt>
                      <c:pt idx="17">
                        <c:v>27.046092184368739</c:v>
                      </c:pt>
                      <c:pt idx="18">
                        <c:v>26.98997995991984</c:v>
                      </c:pt>
                      <c:pt idx="19">
                        <c:v>26.93386773547094</c:v>
                      </c:pt>
                      <c:pt idx="20">
                        <c:v>26.877755511022045</c:v>
                      </c:pt>
                      <c:pt idx="21">
                        <c:v>26.821643286573146</c:v>
                      </c:pt>
                      <c:pt idx="22">
                        <c:v>26.76553106212425</c:v>
                      </c:pt>
                      <c:pt idx="23">
                        <c:v>26.709418837675351</c:v>
                      </c:pt>
                      <c:pt idx="24">
                        <c:v>26.653306613226452</c:v>
                      </c:pt>
                      <c:pt idx="25">
                        <c:v>26.597194388777556</c:v>
                      </c:pt>
                      <c:pt idx="26">
                        <c:v>26.541082164328657</c:v>
                      </c:pt>
                      <c:pt idx="27">
                        <c:v>26.484969939879761</c:v>
                      </c:pt>
                      <c:pt idx="28">
                        <c:v>26.428857715430862</c:v>
                      </c:pt>
                      <c:pt idx="29">
                        <c:v>26.372745490981963</c:v>
                      </c:pt>
                      <c:pt idx="30">
                        <c:v>26.316633266533067</c:v>
                      </c:pt>
                      <c:pt idx="31">
                        <c:v>26.260521042084168</c:v>
                      </c:pt>
                      <c:pt idx="32">
                        <c:v>26.204408817635269</c:v>
                      </c:pt>
                      <c:pt idx="33">
                        <c:v>26.148296593186373</c:v>
                      </c:pt>
                      <c:pt idx="34">
                        <c:v>26.092184368737474</c:v>
                      </c:pt>
                      <c:pt idx="35">
                        <c:v>26.036072144288578</c:v>
                      </c:pt>
                      <c:pt idx="36">
                        <c:v>25.979959919839679</c:v>
                      </c:pt>
                      <c:pt idx="37">
                        <c:v>25.923847695390783</c:v>
                      </c:pt>
                      <c:pt idx="38">
                        <c:v>25.867735470941884</c:v>
                      </c:pt>
                      <c:pt idx="39">
                        <c:v>25.811623246492985</c:v>
                      </c:pt>
                      <c:pt idx="40">
                        <c:v>25.755511022044089</c:v>
                      </c:pt>
                      <c:pt idx="41">
                        <c:v>25.69939879759519</c:v>
                      </c:pt>
                      <c:pt idx="42">
                        <c:v>25.643286573146291</c:v>
                      </c:pt>
                      <c:pt idx="43">
                        <c:v>25.587174348697395</c:v>
                      </c:pt>
                      <c:pt idx="44">
                        <c:v>25.531062124248496</c:v>
                      </c:pt>
                      <c:pt idx="45">
                        <c:v>25.474949899799601</c:v>
                      </c:pt>
                      <c:pt idx="46">
                        <c:v>25.418837675350701</c:v>
                      </c:pt>
                      <c:pt idx="47">
                        <c:v>25.362725450901802</c:v>
                      </c:pt>
                      <c:pt idx="48">
                        <c:v>25.306613226452907</c:v>
                      </c:pt>
                      <c:pt idx="49">
                        <c:v>25.250501002004007</c:v>
                      </c:pt>
                      <c:pt idx="50">
                        <c:v>25.194388777555112</c:v>
                      </c:pt>
                      <c:pt idx="51">
                        <c:v>25.138276553106213</c:v>
                      </c:pt>
                      <c:pt idx="52">
                        <c:v>25.082164328657313</c:v>
                      </c:pt>
                      <c:pt idx="53">
                        <c:v>25.026052104208418</c:v>
                      </c:pt>
                      <c:pt idx="54">
                        <c:v>24.969939879759519</c:v>
                      </c:pt>
                      <c:pt idx="55">
                        <c:v>24.913827655310619</c:v>
                      </c:pt>
                      <c:pt idx="56">
                        <c:v>24.857715430861724</c:v>
                      </c:pt>
                      <c:pt idx="57">
                        <c:v>24.801603206412825</c:v>
                      </c:pt>
                      <c:pt idx="58">
                        <c:v>24.745490981963929</c:v>
                      </c:pt>
                      <c:pt idx="59">
                        <c:v>24.68937875751503</c:v>
                      </c:pt>
                      <c:pt idx="60">
                        <c:v>24.633266533066134</c:v>
                      </c:pt>
                      <c:pt idx="61">
                        <c:v>24.577154308617235</c:v>
                      </c:pt>
                      <c:pt idx="62">
                        <c:v>24.521042084168336</c:v>
                      </c:pt>
                      <c:pt idx="63">
                        <c:v>24.46492985971944</c:v>
                      </c:pt>
                      <c:pt idx="64">
                        <c:v>24.408817635270541</c:v>
                      </c:pt>
                      <c:pt idx="65">
                        <c:v>24.352705410821642</c:v>
                      </c:pt>
                      <c:pt idx="66">
                        <c:v>24.296593186372746</c:v>
                      </c:pt>
                      <c:pt idx="67">
                        <c:v>24.240480961923847</c:v>
                      </c:pt>
                      <c:pt idx="68">
                        <c:v>24.184368737474948</c:v>
                      </c:pt>
                      <c:pt idx="69">
                        <c:v>24.128256513026052</c:v>
                      </c:pt>
                      <c:pt idx="70">
                        <c:v>24.072144288577153</c:v>
                      </c:pt>
                      <c:pt idx="71">
                        <c:v>24.016032064128257</c:v>
                      </c:pt>
                      <c:pt idx="72">
                        <c:v>23.959919839679358</c:v>
                      </c:pt>
                      <c:pt idx="73">
                        <c:v>23.903807615230463</c:v>
                      </c:pt>
                      <c:pt idx="74">
                        <c:v>23.847695390781563</c:v>
                      </c:pt>
                      <c:pt idx="75">
                        <c:v>23.791583166332664</c:v>
                      </c:pt>
                      <c:pt idx="76">
                        <c:v>23.735470941883769</c:v>
                      </c:pt>
                      <c:pt idx="77">
                        <c:v>23.679358717434869</c:v>
                      </c:pt>
                      <c:pt idx="78">
                        <c:v>23.62324649298597</c:v>
                      </c:pt>
                      <c:pt idx="79">
                        <c:v>23.567134268537075</c:v>
                      </c:pt>
                      <c:pt idx="80">
                        <c:v>23.511022044088175</c:v>
                      </c:pt>
                      <c:pt idx="81">
                        <c:v>23.45490981963928</c:v>
                      </c:pt>
                      <c:pt idx="82">
                        <c:v>23.398797595190381</c:v>
                      </c:pt>
                      <c:pt idx="83">
                        <c:v>23.342685370741485</c:v>
                      </c:pt>
                      <c:pt idx="84">
                        <c:v>23.286573146292586</c:v>
                      </c:pt>
                      <c:pt idx="85">
                        <c:v>23.230460921843687</c:v>
                      </c:pt>
                      <c:pt idx="86">
                        <c:v>23.174348697394791</c:v>
                      </c:pt>
                      <c:pt idx="87">
                        <c:v>23.118236472945892</c:v>
                      </c:pt>
                      <c:pt idx="88">
                        <c:v>23.062124248496993</c:v>
                      </c:pt>
                      <c:pt idx="89">
                        <c:v>23.006012024048097</c:v>
                      </c:pt>
                      <c:pt idx="90">
                        <c:v>22.949899799599198</c:v>
                      </c:pt>
                      <c:pt idx="91">
                        <c:v>22.893787575150299</c:v>
                      </c:pt>
                      <c:pt idx="92">
                        <c:v>22.837675350701403</c:v>
                      </c:pt>
                      <c:pt idx="93">
                        <c:v>22.781563126252504</c:v>
                      </c:pt>
                      <c:pt idx="94">
                        <c:v>22.725450901803608</c:v>
                      </c:pt>
                      <c:pt idx="95">
                        <c:v>22.669338677354709</c:v>
                      </c:pt>
                      <c:pt idx="96">
                        <c:v>22.613226452905813</c:v>
                      </c:pt>
                      <c:pt idx="97">
                        <c:v>22.557114228456914</c:v>
                      </c:pt>
                      <c:pt idx="98">
                        <c:v>22.501002004008015</c:v>
                      </c:pt>
                      <c:pt idx="99">
                        <c:v>22.444889779559119</c:v>
                      </c:pt>
                      <c:pt idx="100">
                        <c:v>22.38877755511022</c:v>
                      </c:pt>
                      <c:pt idx="101">
                        <c:v>22.332665330661321</c:v>
                      </c:pt>
                      <c:pt idx="102">
                        <c:v>22.276553106212425</c:v>
                      </c:pt>
                      <c:pt idx="103">
                        <c:v>22.220440881763526</c:v>
                      </c:pt>
                      <c:pt idx="104">
                        <c:v>22.164328657314627</c:v>
                      </c:pt>
                      <c:pt idx="105">
                        <c:v>22.108216432865731</c:v>
                      </c:pt>
                      <c:pt idx="106">
                        <c:v>22.052104208416836</c:v>
                      </c:pt>
                      <c:pt idx="107">
                        <c:v>21.995991983967937</c:v>
                      </c:pt>
                      <c:pt idx="108">
                        <c:v>21.939879759519037</c:v>
                      </c:pt>
                      <c:pt idx="109">
                        <c:v>21.883767535070142</c:v>
                      </c:pt>
                      <c:pt idx="110">
                        <c:v>21.827655310621243</c:v>
                      </c:pt>
                      <c:pt idx="111">
                        <c:v>21.771543086172343</c:v>
                      </c:pt>
                      <c:pt idx="112">
                        <c:v>21.715430861723448</c:v>
                      </c:pt>
                      <c:pt idx="113">
                        <c:v>21.659318637274549</c:v>
                      </c:pt>
                      <c:pt idx="114">
                        <c:v>21.603206412825649</c:v>
                      </c:pt>
                      <c:pt idx="115">
                        <c:v>21.547094188376754</c:v>
                      </c:pt>
                      <c:pt idx="116">
                        <c:v>21.490981963927855</c:v>
                      </c:pt>
                      <c:pt idx="117">
                        <c:v>21.434869739478959</c:v>
                      </c:pt>
                      <c:pt idx="118">
                        <c:v>21.37875751503006</c:v>
                      </c:pt>
                      <c:pt idx="119">
                        <c:v>21.322645290581164</c:v>
                      </c:pt>
                      <c:pt idx="120">
                        <c:v>21.266533066132265</c:v>
                      </c:pt>
                      <c:pt idx="121">
                        <c:v>21.210420841683366</c:v>
                      </c:pt>
                      <c:pt idx="122">
                        <c:v>21.15430861723447</c:v>
                      </c:pt>
                      <c:pt idx="123">
                        <c:v>21.098196392785571</c:v>
                      </c:pt>
                      <c:pt idx="124">
                        <c:v>21.042084168336672</c:v>
                      </c:pt>
                      <c:pt idx="125">
                        <c:v>20.985971943887776</c:v>
                      </c:pt>
                      <c:pt idx="126">
                        <c:v>20.929859719438877</c:v>
                      </c:pt>
                      <c:pt idx="127">
                        <c:v>20.873747494989978</c:v>
                      </c:pt>
                      <c:pt idx="128">
                        <c:v>20.817635270541082</c:v>
                      </c:pt>
                      <c:pt idx="129">
                        <c:v>20.761523046092186</c:v>
                      </c:pt>
                      <c:pt idx="130">
                        <c:v>20.705410821643287</c:v>
                      </c:pt>
                      <c:pt idx="131">
                        <c:v>20.649298597194388</c:v>
                      </c:pt>
                      <c:pt idx="132">
                        <c:v>20.593186372745492</c:v>
                      </c:pt>
                      <c:pt idx="133">
                        <c:v>20.537074148296593</c:v>
                      </c:pt>
                      <c:pt idx="134">
                        <c:v>20.480961923847694</c:v>
                      </c:pt>
                      <c:pt idx="135">
                        <c:v>20.424849699398798</c:v>
                      </c:pt>
                      <c:pt idx="136">
                        <c:v>20.368737474949899</c:v>
                      </c:pt>
                      <c:pt idx="137">
                        <c:v>20.312625250501</c:v>
                      </c:pt>
                      <c:pt idx="138">
                        <c:v>20.256513026052104</c:v>
                      </c:pt>
                      <c:pt idx="139">
                        <c:v>20.200400801603205</c:v>
                      </c:pt>
                      <c:pt idx="140">
                        <c:v>20.14428857715431</c:v>
                      </c:pt>
                      <c:pt idx="141">
                        <c:v>20.08817635270541</c:v>
                      </c:pt>
                      <c:pt idx="142">
                        <c:v>20.032064128256515</c:v>
                      </c:pt>
                      <c:pt idx="143">
                        <c:v>19.975951903807616</c:v>
                      </c:pt>
                      <c:pt idx="144">
                        <c:v>19.919839679358716</c:v>
                      </c:pt>
                      <c:pt idx="145">
                        <c:v>19.863727454909821</c:v>
                      </c:pt>
                      <c:pt idx="146">
                        <c:v>19.807615230460922</c:v>
                      </c:pt>
                      <c:pt idx="147">
                        <c:v>19.751503006012022</c:v>
                      </c:pt>
                      <c:pt idx="148">
                        <c:v>19.695390781563127</c:v>
                      </c:pt>
                      <c:pt idx="149">
                        <c:v>19.639278557114228</c:v>
                      </c:pt>
                      <c:pt idx="150">
                        <c:v>19.583166332665328</c:v>
                      </c:pt>
                      <c:pt idx="151">
                        <c:v>19.527054108216433</c:v>
                      </c:pt>
                      <c:pt idx="152">
                        <c:v>19.470941883767537</c:v>
                      </c:pt>
                      <c:pt idx="153">
                        <c:v>19.414829659318638</c:v>
                      </c:pt>
                      <c:pt idx="154">
                        <c:v>19.358717434869739</c:v>
                      </c:pt>
                      <c:pt idx="155">
                        <c:v>19.302605210420843</c:v>
                      </c:pt>
                      <c:pt idx="156">
                        <c:v>19.246492985971944</c:v>
                      </c:pt>
                      <c:pt idx="157">
                        <c:v>19.190380761523045</c:v>
                      </c:pt>
                      <c:pt idx="158">
                        <c:v>19.134268537074149</c:v>
                      </c:pt>
                      <c:pt idx="159">
                        <c:v>19.07815631262525</c:v>
                      </c:pt>
                      <c:pt idx="160">
                        <c:v>19.022044088176351</c:v>
                      </c:pt>
                      <c:pt idx="161">
                        <c:v>18.965931863727455</c:v>
                      </c:pt>
                      <c:pt idx="162">
                        <c:v>18.90981963927856</c:v>
                      </c:pt>
                      <c:pt idx="163">
                        <c:v>18.853707414829657</c:v>
                      </c:pt>
                      <c:pt idx="164">
                        <c:v>18.797595190380761</c:v>
                      </c:pt>
                      <c:pt idx="165">
                        <c:v>18.741482965931866</c:v>
                      </c:pt>
                      <c:pt idx="166">
                        <c:v>18.685370741482966</c:v>
                      </c:pt>
                      <c:pt idx="167">
                        <c:v>18.629258517034067</c:v>
                      </c:pt>
                      <c:pt idx="168">
                        <c:v>18.573146292585172</c:v>
                      </c:pt>
                      <c:pt idx="169">
                        <c:v>18.517034068136272</c:v>
                      </c:pt>
                      <c:pt idx="170">
                        <c:v>18.460921843687373</c:v>
                      </c:pt>
                      <c:pt idx="171">
                        <c:v>18.404809619238478</c:v>
                      </c:pt>
                      <c:pt idx="172">
                        <c:v>18.348697394789578</c:v>
                      </c:pt>
                      <c:pt idx="173">
                        <c:v>18.292585170340679</c:v>
                      </c:pt>
                      <c:pt idx="174">
                        <c:v>18.236472945891784</c:v>
                      </c:pt>
                      <c:pt idx="175">
                        <c:v>18.180360721442888</c:v>
                      </c:pt>
                      <c:pt idx="176">
                        <c:v>18.124248496993989</c:v>
                      </c:pt>
                      <c:pt idx="177">
                        <c:v>18.06813627254509</c:v>
                      </c:pt>
                      <c:pt idx="178">
                        <c:v>18.012024048096194</c:v>
                      </c:pt>
                      <c:pt idx="179">
                        <c:v>17.955911823647295</c:v>
                      </c:pt>
                      <c:pt idx="180">
                        <c:v>17.899799599198396</c:v>
                      </c:pt>
                      <c:pt idx="181">
                        <c:v>17.8436873747495</c:v>
                      </c:pt>
                      <c:pt idx="182">
                        <c:v>17.787575150300601</c:v>
                      </c:pt>
                      <c:pt idx="183">
                        <c:v>17.731462925851702</c:v>
                      </c:pt>
                      <c:pt idx="184">
                        <c:v>17.675350701402806</c:v>
                      </c:pt>
                      <c:pt idx="185">
                        <c:v>17.61923847695391</c:v>
                      </c:pt>
                      <c:pt idx="186">
                        <c:v>17.563126252505008</c:v>
                      </c:pt>
                      <c:pt idx="187">
                        <c:v>17.507014028056112</c:v>
                      </c:pt>
                      <c:pt idx="188">
                        <c:v>17.450901803607216</c:v>
                      </c:pt>
                      <c:pt idx="189">
                        <c:v>17.394789579158317</c:v>
                      </c:pt>
                      <c:pt idx="190">
                        <c:v>17.338677354709418</c:v>
                      </c:pt>
                      <c:pt idx="191">
                        <c:v>17.282565130260522</c:v>
                      </c:pt>
                      <c:pt idx="192">
                        <c:v>17.226452905811623</c:v>
                      </c:pt>
                      <c:pt idx="193">
                        <c:v>17.170340681362724</c:v>
                      </c:pt>
                      <c:pt idx="194">
                        <c:v>17.114228456913828</c:v>
                      </c:pt>
                      <c:pt idx="195">
                        <c:v>17.058116232464929</c:v>
                      </c:pt>
                      <c:pt idx="196">
                        <c:v>17.00200400801603</c:v>
                      </c:pt>
                      <c:pt idx="197">
                        <c:v>16.945891783567134</c:v>
                      </c:pt>
                      <c:pt idx="198">
                        <c:v>16.889779559118239</c:v>
                      </c:pt>
                      <c:pt idx="199">
                        <c:v>16.833667334669336</c:v>
                      </c:pt>
                      <c:pt idx="200">
                        <c:v>16.77755511022044</c:v>
                      </c:pt>
                      <c:pt idx="201">
                        <c:v>16.721442885771545</c:v>
                      </c:pt>
                      <c:pt idx="202">
                        <c:v>16.665330661322646</c:v>
                      </c:pt>
                      <c:pt idx="203">
                        <c:v>16.609218436873746</c:v>
                      </c:pt>
                      <c:pt idx="204">
                        <c:v>16.553106212424851</c:v>
                      </c:pt>
                      <c:pt idx="205">
                        <c:v>16.496993987975952</c:v>
                      </c:pt>
                      <c:pt idx="206">
                        <c:v>16.440881763527052</c:v>
                      </c:pt>
                      <c:pt idx="207">
                        <c:v>16.384769539078157</c:v>
                      </c:pt>
                      <c:pt idx="208">
                        <c:v>16.328657314629258</c:v>
                      </c:pt>
                      <c:pt idx="209">
                        <c:v>16.272545090180358</c:v>
                      </c:pt>
                      <c:pt idx="210">
                        <c:v>16.216432865731463</c:v>
                      </c:pt>
                      <c:pt idx="211">
                        <c:v>16.160320641282567</c:v>
                      </c:pt>
                      <c:pt idx="212">
                        <c:v>16.104208416833668</c:v>
                      </c:pt>
                      <c:pt idx="213">
                        <c:v>16.048096192384769</c:v>
                      </c:pt>
                      <c:pt idx="214">
                        <c:v>15.991983967935871</c:v>
                      </c:pt>
                      <c:pt idx="215">
                        <c:v>15.935871743486974</c:v>
                      </c:pt>
                      <c:pt idx="216">
                        <c:v>15.879759519038076</c:v>
                      </c:pt>
                      <c:pt idx="217">
                        <c:v>15.823647294589179</c:v>
                      </c:pt>
                      <c:pt idx="218">
                        <c:v>15.76753507014028</c:v>
                      </c:pt>
                      <c:pt idx="219">
                        <c:v>15.711422845691382</c:v>
                      </c:pt>
                      <c:pt idx="220">
                        <c:v>15.655310621242485</c:v>
                      </c:pt>
                      <c:pt idx="221">
                        <c:v>15.599198396793588</c:v>
                      </c:pt>
                      <c:pt idx="222">
                        <c:v>15.543086172344688</c:v>
                      </c:pt>
                      <c:pt idx="223">
                        <c:v>15.486973947895791</c:v>
                      </c:pt>
                      <c:pt idx="224">
                        <c:v>15.430861723446894</c:v>
                      </c:pt>
                      <c:pt idx="225">
                        <c:v>15.374749498997996</c:v>
                      </c:pt>
                      <c:pt idx="226">
                        <c:v>15.318637274549099</c:v>
                      </c:pt>
                      <c:pt idx="227">
                        <c:v>15.2625250501002</c:v>
                      </c:pt>
                      <c:pt idx="228">
                        <c:v>15.206412825651302</c:v>
                      </c:pt>
                      <c:pt idx="229">
                        <c:v>15.150300601202405</c:v>
                      </c:pt>
                      <c:pt idx="230">
                        <c:v>15.094188376753507</c:v>
                      </c:pt>
                      <c:pt idx="231">
                        <c:v>15.038076152304608</c:v>
                      </c:pt>
                      <c:pt idx="232">
                        <c:v>14.981963927855711</c:v>
                      </c:pt>
                      <c:pt idx="233">
                        <c:v>14.925851703406813</c:v>
                      </c:pt>
                      <c:pt idx="234">
                        <c:v>14.869739478957916</c:v>
                      </c:pt>
                      <c:pt idx="235">
                        <c:v>14.813627254509019</c:v>
                      </c:pt>
                      <c:pt idx="236">
                        <c:v>14.757515030060119</c:v>
                      </c:pt>
                      <c:pt idx="237">
                        <c:v>14.701402805611222</c:v>
                      </c:pt>
                      <c:pt idx="238">
                        <c:v>14.645290581162325</c:v>
                      </c:pt>
                      <c:pt idx="239">
                        <c:v>14.589178356713427</c:v>
                      </c:pt>
                      <c:pt idx="240">
                        <c:v>14.53306613226453</c:v>
                      </c:pt>
                      <c:pt idx="241">
                        <c:v>14.476953907815631</c:v>
                      </c:pt>
                      <c:pt idx="242">
                        <c:v>14.420841683366733</c:v>
                      </c:pt>
                      <c:pt idx="243">
                        <c:v>14.364729458917836</c:v>
                      </c:pt>
                      <c:pt idx="244">
                        <c:v>14.308617234468938</c:v>
                      </c:pt>
                      <c:pt idx="245">
                        <c:v>14.252505010020039</c:v>
                      </c:pt>
                      <c:pt idx="246">
                        <c:v>14.196392785571142</c:v>
                      </c:pt>
                      <c:pt idx="247">
                        <c:v>14.140280561122244</c:v>
                      </c:pt>
                      <c:pt idx="248">
                        <c:v>14.084168336673347</c:v>
                      </c:pt>
                      <c:pt idx="249">
                        <c:v>14.02805611222445</c:v>
                      </c:pt>
                      <c:pt idx="250">
                        <c:v>13.97194388777555</c:v>
                      </c:pt>
                      <c:pt idx="251">
                        <c:v>13.915831663326653</c:v>
                      </c:pt>
                      <c:pt idx="252">
                        <c:v>13.859719438877756</c:v>
                      </c:pt>
                      <c:pt idx="253">
                        <c:v>13.803607214428858</c:v>
                      </c:pt>
                      <c:pt idx="254">
                        <c:v>13.747494989979959</c:v>
                      </c:pt>
                      <c:pt idx="255">
                        <c:v>13.691382765531062</c:v>
                      </c:pt>
                      <c:pt idx="256">
                        <c:v>13.635270541082164</c:v>
                      </c:pt>
                      <c:pt idx="257">
                        <c:v>13.579158316633267</c:v>
                      </c:pt>
                      <c:pt idx="258">
                        <c:v>13.523046092184369</c:v>
                      </c:pt>
                      <c:pt idx="259">
                        <c:v>13.46693386773547</c:v>
                      </c:pt>
                      <c:pt idx="260">
                        <c:v>13.410821643286573</c:v>
                      </c:pt>
                      <c:pt idx="261">
                        <c:v>13.354709418837675</c:v>
                      </c:pt>
                      <c:pt idx="262">
                        <c:v>13.298597194388778</c:v>
                      </c:pt>
                      <c:pt idx="263">
                        <c:v>13.242484969939879</c:v>
                      </c:pt>
                      <c:pt idx="264">
                        <c:v>13.186372745490981</c:v>
                      </c:pt>
                      <c:pt idx="265">
                        <c:v>13.130260521042084</c:v>
                      </c:pt>
                      <c:pt idx="266">
                        <c:v>13.074148296593187</c:v>
                      </c:pt>
                      <c:pt idx="267">
                        <c:v>13.018036072144289</c:v>
                      </c:pt>
                      <c:pt idx="268">
                        <c:v>12.96192384769539</c:v>
                      </c:pt>
                      <c:pt idx="269">
                        <c:v>12.905811623246493</c:v>
                      </c:pt>
                      <c:pt idx="270">
                        <c:v>12.849699398797595</c:v>
                      </c:pt>
                      <c:pt idx="271">
                        <c:v>12.793587174348698</c:v>
                      </c:pt>
                      <c:pt idx="272">
                        <c:v>12.737474949899799</c:v>
                      </c:pt>
                      <c:pt idx="273">
                        <c:v>12.681362725450901</c:v>
                      </c:pt>
                      <c:pt idx="274">
                        <c:v>12.625250501002004</c:v>
                      </c:pt>
                      <c:pt idx="275">
                        <c:v>12.569138276553106</c:v>
                      </c:pt>
                      <c:pt idx="276">
                        <c:v>12.513026052104209</c:v>
                      </c:pt>
                      <c:pt idx="277">
                        <c:v>12.45691382765531</c:v>
                      </c:pt>
                      <c:pt idx="278">
                        <c:v>12.400801603206412</c:v>
                      </c:pt>
                      <c:pt idx="279">
                        <c:v>12.344689378757515</c:v>
                      </c:pt>
                      <c:pt idx="280">
                        <c:v>12.288577154308618</c:v>
                      </c:pt>
                      <c:pt idx="281">
                        <c:v>12.23246492985972</c:v>
                      </c:pt>
                      <c:pt idx="282">
                        <c:v>12.176352705410821</c:v>
                      </c:pt>
                      <c:pt idx="283">
                        <c:v>12.120240480961924</c:v>
                      </c:pt>
                      <c:pt idx="284">
                        <c:v>12.064128256513026</c:v>
                      </c:pt>
                      <c:pt idx="285">
                        <c:v>12.008016032064129</c:v>
                      </c:pt>
                      <c:pt idx="286">
                        <c:v>11.951903807615231</c:v>
                      </c:pt>
                      <c:pt idx="287">
                        <c:v>11.895791583166332</c:v>
                      </c:pt>
                      <c:pt idx="288">
                        <c:v>11.839679358717433</c:v>
                      </c:pt>
                      <c:pt idx="289">
                        <c:v>11.783567134268537</c:v>
                      </c:pt>
                      <c:pt idx="290">
                        <c:v>11.727454909819638</c:v>
                      </c:pt>
                      <c:pt idx="291">
                        <c:v>11.671342685370742</c:v>
                      </c:pt>
                      <c:pt idx="292">
                        <c:v>11.615230460921843</c:v>
                      </c:pt>
                      <c:pt idx="293">
                        <c:v>11.559118236472944</c:v>
                      </c:pt>
                      <c:pt idx="294">
                        <c:v>11.503006012024048</c:v>
                      </c:pt>
                      <c:pt idx="295">
                        <c:v>11.446893787575149</c:v>
                      </c:pt>
                      <c:pt idx="296">
                        <c:v>11.390781563126254</c:v>
                      </c:pt>
                      <c:pt idx="297">
                        <c:v>11.334669338677354</c:v>
                      </c:pt>
                      <c:pt idx="298">
                        <c:v>11.278557114228455</c:v>
                      </c:pt>
                      <c:pt idx="299">
                        <c:v>11.22244488977956</c:v>
                      </c:pt>
                      <c:pt idx="300">
                        <c:v>11.16633266533066</c:v>
                      </c:pt>
                      <c:pt idx="301">
                        <c:v>11.110220440881765</c:v>
                      </c:pt>
                      <c:pt idx="302">
                        <c:v>11.054108216432866</c:v>
                      </c:pt>
                      <c:pt idx="303">
                        <c:v>10.997995991983966</c:v>
                      </c:pt>
                      <c:pt idx="304">
                        <c:v>10.941883767535071</c:v>
                      </c:pt>
                      <c:pt idx="305">
                        <c:v>10.885771543086172</c:v>
                      </c:pt>
                      <c:pt idx="306">
                        <c:v>10.829659318637276</c:v>
                      </c:pt>
                      <c:pt idx="307">
                        <c:v>10.773547094188377</c:v>
                      </c:pt>
                      <c:pt idx="308">
                        <c:v>10.717434869739478</c:v>
                      </c:pt>
                      <c:pt idx="309">
                        <c:v>10.661322645290582</c:v>
                      </c:pt>
                      <c:pt idx="310">
                        <c:v>10.605210420841683</c:v>
                      </c:pt>
                      <c:pt idx="311">
                        <c:v>10.549098196392784</c:v>
                      </c:pt>
                      <c:pt idx="312">
                        <c:v>10.492985971943888</c:v>
                      </c:pt>
                      <c:pt idx="313">
                        <c:v>10.436873747494989</c:v>
                      </c:pt>
                      <c:pt idx="314">
                        <c:v>10.380761523046093</c:v>
                      </c:pt>
                      <c:pt idx="315">
                        <c:v>10.324649298597194</c:v>
                      </c:pt>
                      <c:pt idx="316">
                        <c:v>10.268537074148295</c:v>
                      </c:pt>
                      <c:pt idx="317">
                        <c:v>10.212424849699399</c:v>
                      </c:pt>
                      <c:pt idx="318">
                        <c:v>10.1563126252505</c:v>
                      </c:pt>
                      <c:pt idx="319">
                        <c:v>10.100200400801604</c:v>
                      </c:pt>
                      <c:pt idx="320">
                        <c:v>10.044088176352705</c:v>
                      </c:pt>
                      <c:pt idx="321">
                        <c:v>9.987975951903806</c:v>
                      </c:pt>
                      <c:pt idx="322">
                        <c:v>9.9318637274549104</c:v>
                      </c:pt>
                      <c:pt idx="323">
                        <c:v>9.8757515030060112</c:v>
                      </c:pt>
                      <c:pt idx="324">
                        <c:v>9.8196392785571156</c:v>
                      </c:pt>
                      <c:pt idx="325">
                        <c:v>9.7635270541082164</c:v>
                      </c:pt>
                      <c:pt idx="326">
                        <c:v>9.7074148296593172</c:v>
                      </c:pt>
                      <c:pt idx="327">
                        <c:v>9.6513026052104216</c:v>
                      </c:pt>
                      <c:pt idx="328">
                        <c:v>9.5951903807615224</c:v>
                      </c:pt>
                      <c:pt idx="329">
                        <c:v>9.5390781563126268</c:v>
                      </c:pt>
                      <c:pt idx="330">
                        <c:v>9.4829659318637276</c:v>
                      </c:pt>
                      <c:pt idx="331">
                        <c:v>9.4268537074148284</c:v>
                      </c:pt>
                      <c:pt idx="332">
                        <c:v>9.3707414829659328</c:v>
                      </c:pt>
                      <c:pt idx="333">
                        <c:v>9.3146292585170336</c:v>
                      </c:pt>
                      <c:pt idx="334">
                        <c:v>9.2585170340681344</c:v>
                      </c:pt>
                      <c:pt idx="335">
                        <c:v>9.2024048096192388</c:v>
                      </c:pt>
                      <c:pt idx="336">
                        <c:v>9.1462925851703396</c:v>
                      </c:pt>
                      <c:pt idx="337">
                        <c:v>9.090180360721444</c:v>
                      </c:pt>
                      <c:pt idx="338">
                        <c:v>9.0340681362725448</c:v>
                      </c:pt>
                      <c:pt idx="339">
                        <c:v>8.9779559118236456</c:v>
                      </c:pt>
                      <c:pt idx="340">
                        <c:v>8.92184368737475</c:v>
                      </c:pt>
                      <c:pt idx="341">
                        <c:v>8.8657314629258508</c:v>
                      </c:pt>
                      <c:pt idx="342">
                        <c:v>8.8096192384769552</c:v>
                      </c:pt>
                      <c:pt idx="343">
                        <c:v>8.753507014028056</c:v>
                      </c:pt>
                      <c:pt idx="344">
                        <c:v>8.6973947895791568</c:v>
                      </c:pt>
                      <c:pt idx="345">
                        <c:v>8.6412825651302612</c:v>
                      </c:pt>
                      <c:pt idx="346">
                        <c:v>8.585170340681362</c:v>
                      </c:pt>
                      <c:pt idx="347">
                        <c:v>8.5290581162324663</c:v>
                      </c:pt>
                      <c:pt idx="348">
                        <c:v>8.4729458917835672</c:v>
                      </c:pt>
                      <c:pt idx="349">
                        <c:v>8.416833667334668</c:v>
                      </c:pt>
                      <c:pt idx="350">
                        <c:v>8.3607214428857723</c:v>
                      </c:pt>
                      <c:pt idx="351">
                        <c:v>8.3046092184368732</c:v>
                      </c:pt>
                      <c:pt idx="352">
                        <c:v>8.2484969939879775</c:v>
                      </c:pt>
                      <c:pt idx="353">
                        <c:v>8.1923847695390783</c:v>
                      </c:pt>
                      <c:pt idx="354">
                        <c:v>8.1362725450901792</c:v>
                      </c:pt>
                      <c:pt idx="355">
                        <c:v>8.0801603206412835</c:v>
                      </c:pt>
                      <c:pt idx="356">
                        <c:v>8.0240480961923843</c:v>
                      </c:pt>
                      <c:pt idx="357">
                        <c:v>7.9679358717434852</c:v>
                      </c:pt>
                      <c:pt idx="358">
                        <c:v>7.9118236472945895</c:v>
                      </c:pt>
                      <c:pt idx="359">
                        <c:v>7.8557114228456904</c:v>
                      </c:pt>
                      <c:pt idx="360">
                        <c:v>7.7995991983967947</c:v>
                      </c:pt>
                      <c:pt idx="361">
                        <c:v>7.7434869739478955</c:v>
                      </c:pt>
                      <c:pt idx="362">
                        <c:v>7.6873747494989964</c:v>
                      </c:pt>
                      <c:pt idx="363">
                        <c:v>7.6312625250501007</c:v>
                      </c:pt>
                      <c:pt idx="364">
                        <c:v>7.5751503006012015</c:v>
                      </c:pt>
                      <c:pt idx="365">
                        <c:v>7.5190380761523059</c:v>
                      </c:pt>
                      <c:pt idx="366">
                        <c:v>7.4629258517034067</c:v>
                      </c:pt>
                      <c:pt idx="367">
                        <c:v>7.4068136272545075</c:v>
                      </c:pt>
                      <c:pt idx="368">
                        <c:v>7.3507014028056119</c:v>
                      </c:pt>
                      <c:pt idx="369">
                        <c:v>7.2945891783567127</c:v>
                      </c:pt>
                      <c:pt idx="370">
                        <c:v>7.2384769539078171</c:v>
                      </c:pt>
                      <c:pt idx="371">
                        <c:v>7.1823647294589179</c:v>
                      </c:pt>
                      <c:pt idx="372">
                        <c:v>7.1262525050100187</c:v>
                      </c:pt>
                      <c:pt idx="373">
                        <c:v>7.0701402805611231</c:v>
                      </c:pt>
                      <c:pt idx="374">
                        <c:v>7.0140280561122239</c:v>
                      </c:pt>
                      <c:pt idx="375">
                        <c:v>6.9579158316633247</c:v>
                      </c:pt>
                      <c:pt idx="376">
                        <c:v>6.9018036072144291</c:v>
                      </c:pt>
                      <c:pt idx="377">
                        <c:v>6.8456913827655299</c:v>
                      </c:pt>
                      <c:pt idx="378">
                        <c:v>6.7895791583166343</c:v>
                      </c:pt>
                      <c:pt idx="379">
                        <c:v>6.7334669338677351</c:v>
                      </c:pt>
                      <c:pt idx="380">
                        <c:v>6.6773547094188359</c:v>
                      </c:pt>
                      <c:pt idx="381">
                        <c:v>6.6212424849699403</c:v>
                      </c:pt>
                      <c:pt idx="382">
                        <c:v>6.5651302605210411</c:v>
                      </c:pt>
                      <c:pt idx="383">
                        <c:v>6.5090180360721455</c:v>
                      </c:pt>
                      <c:pt idx="384">
                        <c:v>6.4529058116232463</c:v>
                      </c:pt>
                      <c:pt idx="385">
                        <c:v>6.3967935871743471</c:v>
                      </c:pt>
                      <c:pt idx="386">
                        <c:v>6.3406813627254515</c:v>
                      </c:pt>
                      <c:pt idx="387">
                        <c:v>6.2845691382765523</c:v>
                      </c:pt>
                      <c:pt idx="388">
                        <c:v>6.2284569138276566</c:v>
                      </c:pt>
                      <c:pt idx="389">
                        <c:v>6.1723446893787575</c:v>
                      </c:pt>
                      <c:pt idx="390">
                        <c:v>6.1162324649298583</c:v>
                      </c:pt>
                      <c:pt idx="391">
                        <c:v>6.0601202404809627</c:v>
                      </c:pt>
                      <c:pt idx="392">
                        <c:v>6.0040080160320635</c:v>
                      </c:pt>
                      <c:pt idx="393">
                        <c:v>5.9478957915831678</c:v>
                      </c:pt>
                      <c:pt idx="394">
                        <c:v>5.8917835671342687</c:v>
                      </c:pt>
                      <c:pt idx="395">
                        <c:v>5.8356713426853695</c:v>
                      </c:pt>
                      <c:pt idx="396">
                        <c:v>5.7795591182364738</c:v>
                      </c:pt>
                      <c:pt idx="397">
                        <c:v>5.7234468937875747</c:v>
                      </c:pt>
                      <c:pt idx="398">
                        <c:v>5.6673346693386755</c:v>
                      </c:pt>
                      <c:pt idx="399">
                        <c:v>5.6112224448897798</c:v>
                      </c:pt>
                      <c:pt idx="400">
                        <c:v>5.5551102204408807</c:v>
                      </c:pt>
                      <c:pt idx="401">
                        <c:v>5.498997995991985</c:v>
                      </c:pt>
                      <c:pt idx="402">
                        <c:v>5.4428857715430858</c:v>
                      </c:pt>
                      <c:pt idx="403">
                        <c:v>5.3867735470941867</c:v>
                      </c:pt>
                      <c:pt idx="404">
                        <c:v>5.330661322645291</c:v>
                      </c:pt>
                      <c:pt idx="405">
                        <c:v>5.2745490981963918</c:v>
                      </c:pt>
                      <c:pt idx="406">
                        <c:v>5.2184368737474962</c:v>
                      </c:pt>
                      <c:pt idx="407">
                        <c:v>5.162324649298597</c:v>
                      </c:pt>
                      <c:pt idx="408">
                        <c:v>5.1062124248496978</c:v>
                      </c:pt>
                      <c:pt idx="409">
                        <c:v>5.0501002004008022</c:v>
                      </c:pt>
                      <c:pt idx="410">
                        <c:v>4.993987975951903</c:v>
                      </c:pt>
                      <c:pt idx="411">
                        <c:v>4.9378757515030074</c:v>
                      </c:pt>
                      <c:pt idx="412">
                        <c:v>4.8817635270541082</c:v>
                      </c:pt>
                      <c:pt idx="413">
                        <c:v>4.825651302605209</c:v>
                      </c:pt>
                      <c:pt idx="414">
                        <c:v>4.7695390781563134</c:v>
                      </c:pt>
                      <c:pt idx="415">
                        <c:v>4.7134268537074142</c:v>
                      </c:pt>
                      <c:pt idx="416">
                        <c:v>4.657314629258515</c:v>
                      </c:pt>
                      <c:pt idx="417">
                        <c:v>4.6012024048096194</c:v>
                      </c:pt>
                      <c:pt idx="418">
                        <c:v>4.5450901803607202</c:v>
                      </c:pt>
                      <c:pt idx="419">
                        <c:v>4.4889779559118246</c:v>
                      </c:pt>
                      <c:pt idx="420">
                        <c:v>4.4328657314629254</c:v>
                      </c:pt>
                      <c:pt idx="421">
                        <c:v>4.3767535070140262</c:v>
                      </c:pt>
                      <c:pt idx="422">
                        <c:v>4.3206412825651306</c:v>
                      </c:pt>
                      <c:pt idx="423">
                        <c:v>4.2645290581162314</c:v>
                      </c:pt>
                      <c:pt idx="424">
                        <c:v>4.2084168336673358</c:v>
                      </c:pt>
                      <c:pt idx="425">
                        <c:v>4.1523046092184366</c:v>
                      </c:pt>
                      <c:pt idx="426">
                        <c:v>4.0961923847695374</c:v>
                      </c:pt>
                      <c:pt idx="427">
                        <c:v>4.0400801603206418</c:v>
                      </c:pt>
                      <c:pt idx="428">
                        <c:v>3.9839679358717426</c:v>
                      </c:pt>
                      <c:pt idx="429">
                        <c:v>3.927855711422847</c:v>
                      </c:pt>
                      <c:pt idx="430">
                        <c:v>3.8717434869739478</c:v>
                      </c:pt>
                      <c:pt idx="431">
                        <c:v>3.8156312625250486</c:v>
                      </c:pt>
                      <c:pt idx="432">
                        <c:v>3.759519038076153</c:v>
                      </c:pt>
                      <c:pt idx="433">
                        <c:v>3.7034068136272538</c:v>
                      </c:pt>
                      <c:pt idx="434">
                        <c:v>3.6472945891783581</c:v>
                      </c:pt>
                      <c:pt idx="435">
                        <c:v>3.591182364729459</c:v>
                      </c:pt>
                      <c:pt idx="436">
                        <c:v>3.5350701402805598</c:v>
                      </c:pt>
                      <c:pt idx="437">
                        <c:v>3.4789579158316641</c:v>
                      </c:pt>
                      <c:pt idx="438">
                        <c:v>3.422845691382765</c:v>
                      </c:pt>
                      <c:pt idx="439">
                        <c:v>3.3667334669338658</c:v>
                      </c:pt>
                      <c:pt idx="440">
                        <c:v>3.3106212424849701</c:v>
                      </c:pt>
                      <c:pt idx="441">
                        <c:v>3.254509018036071</c:v>
                      </c:pt>
                      <c:pt idx="442">
                        <c:v>3.1983967935871753</c:v>
                      </c:pt>
                      <c:pt idx="443">
                        <c:v>3.1422845691382761</c:v>
                      </c:pt>
                      <c:pt idx="444">
                        <c:v>3.086172344689377</c:v>
                      </c:pt>
                      <c:pt idx="445">
                        <c:v>3.0300601202404813</c:v>
                      </c:pt>
                      <c:pt idx="446">
                        <c:v>2.9739478957915821</c:v>
                      </c:pt>
                      <c:pt idx="447">
                        <c:v>2.9178356713426865</c:v>
                      </c:pt>
                      <c:pt idx="448">
                        <c:v>2.8617234468937873</c:v>
                      </c:pt>
                      <c:pt idx="449">
                        <c:v>2.8056112224448881</c:v>
                      </c:pt>
                      <c:pt idx="450">
                        <c:v>2.7494989979959925</c:v>
                      </c:pt>
                      <c:pt idx="451">
                        <c:v>2.6933867735470933</c:v>
                      </c:pt>
                      <c:pt idx="452">
                        <c:v>2.6372745490981977</c:v>
                      </c:pt>
                      <c:pt idx="453">
                        <c:v>2.5811623246492985</c:v>
                      </c:pt>
                      <c:pt idx="454">
                        <c:v>2.5250501002003993</c:v>
                      </c:pt>
                      <c:pt idx="455">
                        <c:v>2.4689378757515037</c:v>
                      </c:pt>
                      <c:pt idx="456">
                        <c:v>2.4128256513026045</c:v>
                      </c:pt>
                      <c:pt idx="457">
                        <c:v>2.3567134268537089</c:v>
                      </c:pt>
                      <c:pt idx="458">
                        <c:v>2.3006012024048097</c:v>
                      </c:pt>
                      <c:pt idx="459">
                        <c:v>2.2444889779559105</c:v>
                      </c:pt>
                      <c:pt idx="460">
                        <c:v>2.1883767535070149</c:v>
                      </c:pt>
                      <c:pt idx="461">
                        <c:v>2.1322645290581157</c:v>
                      </c:pt>
                      <c:pt idx="462">
                        <c:v>2.0761523046092165</c:v>
                      </c:pt>
                      <c:pt idx="463">
                        <c:v>2.0200400801603209</c:v>
                      </c:pt>
                      <c:pt idx="464">
                        <c:v>1.9639278557114217</c:v>
                      </c:pt>
                      <c:pt idx="465">
                        <c:v>1.9078156312625261</c:v>
                      </c:pt>
                      <c:pt idx="466">
                        <c:v>1.8517034068136269</c:v>
                      </c:pt>
                      <c:pt idx="467">
                        <c:v>1.7955911823647277</c:v>
                      </c:pt>
                      <c:pt idx="468">
                        <c:v>1.7394789579158321</c:v>
                      </c:pt>
                      <c:pt idx="469">
                        <c:v>1.6833667334669329</c:v>
                      </c:pt>
                      <c:pt idx="470">
                        <c:v>1.6272545090180373</c:v>
                      </c:pt>
                      <c:pt idx="471">
                        <c:v>1.5711422845691381</c:v>
                      </c:pt>
                      <c:pt idx="472">
                        <c:v>1.5150300601202389</c:v>
                      </c:pt>
                      <c:pt idx="473">
                        <c:v>1.4589178356713433</c:v>
                      </c:pt>
                      <c:pt idx="474">
                        <c:v>1.4028056112224441</c:v>
                      </c:pt>
                      <c:pt idx="475">
                        <c:v>1.3466933867735484</c:v>
                      </c:pt>
                      <c:pt idx="476">
                        <c:v>1.2905811623246493</c:v>
                      </c:pt>
                      <c:pt idx="477">
                        <c:v>1.2344689378757501</c:v>
                      </c:pt>
                      <c:pt idx="478">
                        <c:v>1.1783567134268544</c:v>
                      </c:pt>
                      <c:pt idx="479">
                        <c:v>1.1222444889779553</c:v>
                      </c:pt>
                      <c:pt idx="480">
                        <c:v>1.0661322645290596</c:v>
                      </c:pt>
                      <c:pt idx="481">
                        <c:v>1.0100200400801604</c:v>
                      </c:pt>
                      <c:pt idx="482">
                        <c:v>0.95390781563126126</c:v>
                      </c:pt>
                      <c:pt idx="483">
                        <c:v>0.89779559118236563</c:v>
                      </c:pt>
                      <c:pt idx="484">
                        <c:v>0.84168336673346644</c:v>
                      </c:pt>
                      <c:pt idx="485">
                        <c:v>0.78557114228456726</c:v>
                      </c:pt>
                      <c:pt idx="486">
                        <c:v>0.72945891783567163</c:v>
                      </c:pt>
                      <c:pt idx="487">
                        <c:v>0.67334669338677244</c:v>
                      </c:pt>
                      <c:pt idx="488">
                        <c:v>0.61723446893787681</c:v>
                      </c:pt>
                      <c:pt idx="489">
                        <c:v>0.56112224448897763</c:v>
                      </c:pt>
                      <c:pt idx="490">
                        <c:v>0.50501002004007844</c:v>
                      </c:pt>
                      <c:pt idx="491">
                        <c:v>0.44889779559118281</c:v>
                      </c:pt>
                      <c:pt idx="492">
                        <c:v>0.39278557114228363</c:v>
                      </c:pt>
                      <c:pt idx="493">
                        <c:v>0.336673346693388</c:v>
                      </c:pt>
                      <c:pt idx="494">
                        <c:v>0.28056112224448881</c:v>
                      </c:pt>
                      <c:pt idx="495">
                        <c:v>0.22444889779558963</c:v>
                      </c:pt>
                      <c:pt idx="496">
                        <c:v>0.168336673346694</c:v>
                      </c:pt>
                      <c:pt idx="497">
                        <c:v>0.11222444889779482</c:v>
                      </c:pt>
                      <c:pt idx="498">
                        <c:v>5.6112224448899184E-2</c:v>
                      </c:pt>
                      <c:pt idx="499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[1]Main!$F$512:$F$1011</c15:sqref>
                        </c15:formulaRef>
                      </c:ext>
                    </c:extLst>
                    <c:numCache>
                      <c:formatCode>General</c:formatCode>
                      <c:ptCount val="500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4A3-4AB9-8FEC-B3A4BF95C226}"/>
                  </c:ext>
                </c:extLst>
              </c15:ser>
            </c15:filteredScatterSeries>
          </c:ext>
        </c:extLst>
      </c:scatterChart>
      <c:valAx>
        <c:axId val="688005087"/>
        <c:scaling>
          <c:orientation val="minMax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反射光の角度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b[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sin(a)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Main!$E$12:$E$511</c:f>
              <c:numCache>
                <c:formatCode>General</c:formatCode>
                <c:ptCount val="500"/>
                <c:pt idx="0">
                  <c:v>0.46947156278589081</c:v>
                </c:pt>
                <c:pt idx="1">
                  <c:v>0.46897188337242657</c:v>
                </c:pt>
                <c:pt idx="2">
                  <c:v>0.46847126139898221</c:v>
                </c:pt>
                <c:pt idx="3">
                  <c:v>0.46796969307652481</c:v>
                </c:pt>
                <c:pt idx="4">
                  <c:v>0.46746717459903486</c:v>
                </c:pt>
                <c:pt idx="5">
                  <c:v>0.46696370214345106</c:v>
                </c:pt>
                <c:pt idx="6">
                  <c:v>0.46645927186959135</c:v>
                </c:pt>
                <c:pt idx="7">
                  <c:v>0.46595387992009041</c:v>
                </c:pt>
                <c:pt idx="8">
                  <c:v>0.46544752242033599</c:v>
                </c:pt>
                <c:pt idx="9">
                  <c:v>0.46494019547839305</c:v>
                </c:pt>
                <c:pt idx="10">
                  <c:v>0.46443189518493966</c:v>
                </c:pt>
                <c:pt idx="11">
                  <c:v>0.46392261761320552</c:v>
                </c:pt>
                <c:pt idx="12">
                  <c:v>0.46341235881889248</c:v>
                </c:pt>
                <c:pt idx="13">
                  <c:v>0.46290111484012053</c:v>
                </c:pt>
                <c:pt idx="14">
                  <c:v>0.46238888169734987</c:v>
                </c:pt>
                <c:pt idx="15">
                  <c:v>0.46187565539331782</c:v>
                </c:pt>
                <c:pt idx="16">
                  <c:v>0.46136143191297746</c:v>
                </c:pt>
                <c:pt idx="17">
                  <c:v>0.46084620722342057</c:v>
                </c:pt>
                <c:pt idx="18">
                  <c:v>0.46032997727381669</c:v>
                </c:pt>
                <c:pt idx="19">
                  <c:v>0.45981273799535027</c:v>
                </c:pt>
                <c:pt idx="20">
                  <c:v>0.45929448530114575</c:v>
                </c:pt>
                <c:pt idx="21">
                  <c:v>0.45877521508620567</c:v>
                </c:pt>
                <c:pt idx="22">
                  <c:v>0.45825492322734929</c:v>
                </c:pt>
                <c:pt idx="23">
                  <c:v>0.45773360558313625</c:v>
                </c:pt>
                <c:pt idx="24">
                  <c:v>0.45721125799381318</c:v>
                </c:pt>
                <c:pt idx="25">
                  <c:v>0.45668787628123714</c:v>
                </c:pt>
                <c:pt idx="26">
                  <c:v>0.45616345624881538</c:v>
                </c:pt>
                <c:pt idx="27">
                  <c:v>0.45563799368144514</c:v>
                </c:pt>
                <c:pt idx="28">
                  <c:v>0.4551114843454393</c:v>
                </c:pt>
                <c:pt idx="29">
                  <c:v>0.45458392398846648</c:v>
                </c:pt>
                <c:pt idx="30">
                  <c:v>0.45405530833949204</c:v>
                </c:pt>
                <c:pt idx="31">
                  <c:v>0.45352563310870236</c:v>
                </c:pt>
                <c:pt idx="32">
                  <c:v>0.45299489398745496</c:v>
                </c:pt>
                <c:pt idx="33">
                  <c:v>0.45246308664820223</c:v>
                </c:pt>
                <c:pt idx="34">
                  <c:v>0.4519302067444349</c:v>
                </c:pt>
                <c:pt idx="35">
                  <c:v>0.45139624991062316</c:v>
                </c:pt>
                <c:pt idx="36">
                  <c:v>0.45086121176214461</c:v>
                </c:pt>
                <c:pt idx="37">
                  <c:v>0.45032508789522735</c:v>
                </c:pt>
                <c:pt idx="38">
                  <c:v>0.44978787388689323</c:v>
                </c:pt>
                <c:pt idx="39">
                  <c:v>0.4492495652948843</c:v>
                </c:pt>
                <c:pt idx="40">
                  <c:v>0.44871015765761579</c:v>
                </c:pt>
                <c:pt idx="41">
                  <c:v>0.44816964649410351</c:v>
                </c:pt>
                <c:pt idx="42">
                  <c:v>0.44762802730390933</c:v>
                </c:pt>
                <c:pt idx="43">
                  <c:v>0.44708529556708521</c:v>
                </c:pt>
                <c:pt idx="44">
                  <c:v>0.44654144674410517</c:v>
                </c:pt>
                <c:pt idx="45">
                  <c:v>0.44599647627581079</c:v>
                </c:pt>
                <c:pt idx="46">
                  <c:v>0.44545037958335804</c:v>
                </c:pt>
                <c:pt idx="47">
                  <c:v>0.44490315206814762</c:v>
                </c:pt>
                <c:pt idx="48">
                  <c:v>0.44435478911178089</c:v>
                </c:pt>
                <c:pt idx="49">
                  <c:v>0.44380528607599146</c:v>
                </c:pt>
                <c:pt idx="50">
                  <c:v>0.44325463830259393</c:v>
                </c:pt>
                <c:pt idx="51">
                  <c:v>0.442702841113433</c:v>
                </c:pt>
                <c:pt idx="52">
                  <c:v>0.44214988981031822</c:v>
                </c:pt>
                <c:pt idx="53">
                  <c:v>0.44159577967497426</c:v>
                </c:pt>
                <c:pt idx="54">
                  <c:v>0.44104050596899202</c:v>
                </c:pt>
                <c:pt idx="55">
                  <c:v>0.44048406393376371</c:v>
                </c:pt>
                <c:pt idx="56">
                  <c:v>0.43992644879044313</c:v>
                </c:pt>
                <c:pt idx="57">
                  <c:v>0.43936765573988185</c:v>
                </c:pt>
                <c:pt idx="58">
                  <c:v>0.43880767996258285</c:v>
                </c:pt>
                <c:pt idx="59">
                  <c:v>0.4382465166186551</c:v>
                </c:pt>
                <c:pt idx="60">
                  <c:v>0.43768416084775286</c:v>
                </c:pt>
                <c:pt idx="61">
                  <c:v>0.4371206077690315</c:v>
                </c:pt>
                <c:pt idx="62">
                  <c:v>0.43655585248110451</c:v>
                </c:pt>
                <c:pt idx="63">
                  <c:v>0.43598989006198291</c:v>
                </c:pt>
                <c:pt idx="64">
                  <c:v>0.43542271556904311</c:v>
                </c:pt>
                <c:pt idx="65">
                  <c:v>0.43485432403896723</c:v>
                </c:pt>
                <c:pt idx="66">
                  <c:v>0.43428471048770395</c:v>
                </c:pt>
                <c:pt idx="67">
                  <c:v>0.43371386991042882</c:v>
                </c:pt>
                <c:pt idx="68">
                  <c:v>0.43314179728149005</c:v>
                </c:pt>
                <c:pt idx="69">
                  <c:v>0.432568487554371</c:v>
                </c:pt>
                <c:pt idx="70">
                  <c:v>0.43199393566165362</c:v>
                </c:pt>
                <c:pt idx="71">
                  <c:v>0.43141813651496536</c:v>
                </c:pt>
                <c:pt idx="72">
                  <c:v>0.43084108500495299</c:v>
                </c:pt>
                <c:pt idx="73">
                  <c:v>0.43026277600123175</c:v>
                </c:pt>
                <c:pt idx="74">
                  <c:v>0.42968320435235191</c:v>
                </c:pt>
                <c:pt idx="75">
                  <c:v>0.42910236488576797</c:v>
                </c:pt>
                <c:pt idx="76">
                  <c:v>0.42852025240779151</c:v>
                </c:pt>
                <c:pt idx="77">
                  <c:v>0.42793686170356199</c:v>
                </c:pt>
                <c:pt idx="78">
                  <c:v>0.42735218753701848</c:v>
                </c:pt>
                <c:pt idx="79">
                  <c:v>0.42676622465085451</c:v>
                </c:pt>
                <c:pt idx="80">
                  <c:v>0.4261789677665006</c:v>
                </c:pt>
                <c:pt idx="81">
                  <c:v>0.42559041158408234</c:v>
                </c:pt>
                <c:pt idx="82">
                  <c:v>0.4250005507823959</c:v>
                </c:pt>
                <c:pt idx="83">
                  <c:v>0.42440938001888606</c:v>
                </c:pt>
                <c:pt idx="84">
                  <c:v>0.42381689392960875</c:v>
                </c:pt>
                <c:pt idx="85">
                  <c:v>0.42322308712921158</c:v>
                </c:pt>
                <c:pt idx="86">
                  <c:v>0.42262795421091492</c:v>
                </c:pt>
                <c:pt idx="87">
                  <c:v>0.4220314897464767</c:v>
                </c:pt>
                <c:pt idx="88">
                  <c:v>0.4214336882861861</c:v>
                </c:pt>
                <c:pt idx="89">
                  <c:v>0.420834544358831</c:v>
                </c:pt>
                <c:pt idx="90">
                  <c:v>0.42023405247168455</c:v>
                </c:pt>
                <c:pt idx="91">
                  <c:v>0.41963220711049481</c:v>
                </c:pt>
                <c:pt idx="92">
                  <c:v>0.41902900273945737</c:v>
                </c:pt>
                <c:pt idx="93">
                  <c:v>0.4184244338012077</c:v>
                </c:pt>
                <c:pt idx="94">
                  <c:v>0.41781849471681426</c:v>
                </c:pt>
                <c:pt idx="95">
                  <c:v>0.41721117988575462</c:v>
                </c:pt>
                <c:pt idx="96">
                  <c:v>0.41660248368592179</c:v>
                </c:pt>
                <c:pt idx="97">
                  <c:v>0.41599240047360325</c:v>
                </c:pt>
                <c:pt idx="98">
                  <c:v>0.41538092458348147</c:v>
                </c:pt>
                <c:pt idx="99">
                  <c:v>0.41476805032863495</c:v>
                </c:pt>
                <c:pt idx="100">
                  <c:v>0.41415377200052511</c:v>
                </c:pt>
                <c:pt idx="101">
                  <c:v>0.41353808386900154</c:v>
                </c:pt>
                <c:pt idx="102">
                  <c:v>0.41292098018230899</c:v>
                </c:pt>
                <c:pt idx="103">
                  <c:v>0.41230245516707764</c:v>
                </c:pt>
                <c:pt idx="104">
                  <c:v>0.41168250302834336</c:v>
                </c:pt>
                <c:pt idx="105">
                  <c:v>0.41106111794954114</c:v>
                </c:pt>
                <c:pt idx="106">
                  <c:v>0.41043829409252097</c:v>
                </c:pt>
                <c:pt idx="107">
                  <c:v>0.40981402559756358</c:v>
                </c:pt>
                <c:pt idx="108">
                  <c:v>0.40918830658338307</c:v>
                </c:pt>
                <c:pt idx="109">
                  <c:v>0.40856113114714737</c:v>
                </c:pt>
                <c:pt idx="110">
                  <c:v>0.40793249336450171</c:v>
                </c:pt>
                <c:pt idx="111">
                  <c:v>0.40730238728957496</c:v>
                </c:pt>
                <c:pt idx="112">
                  <c:v>0.40667080695501634</c:v>
                </c:pt>
                <c:pt idx="113">
                  <c:v>0.40603774637200646</c:v>
                </c:pt>
                <c:pt idx="114">
                  <c:v>0.40540319953028953</c:v>
                </c:pt>
                <c:pt idx="115">
                  <c:v>0.4047671603982072</c:v>
                </c:pt>
                <c:pt idx="116">
                  <c:v>0.40412962292271926</c:v>
                </c:pt>
                <c:pt idx="117">
                  <c:v>0.40349058102944174</c:v>
                </c:pt>
                <c:pt idx="118">
                  <c:v>0.4028500286226897</c:v>
                </c:pt>
                <c:pt idx="119">
                  <c:v>0.4022079595855016</c:v>
                </c:pt>
                <c:pt idx="120">
                  <c:v>0.40156436777969584</c:v>
                </c:pt>
                <c:pt idx="121">
                  <c:v>0.40091924704590148</c:v>
                </c:pt>
                <c:pt idx="122">
                  <c:v>0.40027259120360981</c:v>
                </c:pt>
                <c:pt idx="123">
                  <c:v>0.39962439405122913</c:v>
                </c:pt>
                <c:pt idx="124">
                  <c:v>0.39897464936612537</c:v>
                </c:pt>
                <c:pt idx="125">
                  <c:v>0.39832335090468235</c:v>
                </c:pt>
                <c:pt idx="126">
                  <c:v>0.39767049240236446</c:v>
                </c:pt>
                <c:pt idx="127">
                  <c:v>0.39701606757376401</c:v>
                </c:pt>
                <c:pt idx="128">
                  <c:v>0.39636007011267976</c:v>
                </c:pt>
                <c:pt idx="129">
                  <c:v>0.39570249369216909</c:v>
                </c:pt>
                <c:pt idx="130">
                  <c:v>0.39504333196462377</c:v>
                </c:pt>
                <c:pt idx="131">
                  <c:v>0.39438257856184789</c:v>
                </c:pt>
                <c:pt idx="132">
                  <c:v>0.39372022709512133</c:v>
                </c:pt>
                <c:pt idx="133">
                  <c:v>0.39305627115528458</c:v>
                </c:pt>
                <c:pt idx="134">
                  <c:v>0.39239070431282608</c:v>
                </c:pt>
                <c:pt idx="135">
                  <c:v>0.39172352011795436</c:v>
                </c:pt>
                <c:pt idx="136">
                  <c:v>0.39105471210070197</c:v>
                </c:pt>
                <c:pt idx="137">
                  <c:v>0.39038427377100332</c:v>
                </c:pt>
                <c:pt idx="138">
                  <c:v>0.38971219861879636</c:v>
                </c:pt>
                <c:pt idx="139">
                  <c:v>0.38903848011412756</c:v>
                </c:pt>
                <c:pt idx="140">
                  <c:v>0.38836311170724191</c:v>
                </c:pt>
                <c:pt idx="141">
                  <c:v>0.38768608682869576</c:v>
                </c:pt>
                <c:pt idx="142">
                  <c:v>0.38700739888947194</c:v>
                </c:pt>
                <c:pt idx="143">
                  <c:v>0.38632704128107953</c:v>
                </c:pt>
                <c:pt idx="144">
                  <c:v>0.38564500737568752</c:v>
                </c:pt>
                <c:pt idx="145">
                  <c:v>0.38496129052623151</c:v>
                </c:pt>
                <c:pt idx="146">
                  <c:v>0.384275884066545</c:v>
                </c:pt>
                <c:pt idx="147">
                  <c:v>0.38358878131149488</c:v>
                </c:pt>
                <c:pt idx="148">
                  <c:v>0.38289997555710165</c:v>
                </c:pt>
                <c:pt idx="149">
                  <c:v>0.38220946008068374</c:v>
                </c:pt>
                <c:pt idx="150">
                  <c:v>0.38151722814100392</c:v>
                </c:pt>
                <c:pt idx="151">
                  <c:v>0.38082327297840185</c:v>
                </c:pt>
                <c:pt idx="152">
                  <c:v>0.38012758781495926</c:v>
                </c:pt>
                <c:pt idx="153">
                  <c:v>0.37943016585464034</c:v>
                </c:pt>
                <c:pt idx="154">
                  <c:v>0.37873100028345685</c:v>
                </c:pt>
                <c:pt idx="155">
                  <c:v>0.37803008426963686</c:v>
                </c:pt>
                <c:pt idx="156">
                  <c:v>0.37732741096378059</c:v>
                </c:pt>
                <c:pt idx="157">
                  <c:v>0.3766229734990385</c:v>
                </c:pt>
                <c:pt idx="158">
                  <c:v>0.375916764991295</c:v>
                </c:pt>
                <c:pt idx="159">
                  <c:v>0.37520877853933521</c:v>
                </c:pt>
                <c:pt idx="160">
                  <c:v>0.37449900722504836</c:v>
                </c:pt>
                <c:pt idx="161">
                  <c:v>0.37378744411360459</c:v>
                </c:pt>
                <c:pt idx="162">
                  <c:v>0.37307408225365762</c:v>
                </c:pt>
                <c:pt idx="163">
                  <c:v>0.37235891467755228</c:v>
                </c:pt>
                <c:pt idx="164">
                  <c:v>0.37164193440151905</c:v>
                </c:pt>
                <c:pt idx="165">
                  <c:v>0.37092313442589087</c:v>
                </c:pt>
                <c:pt idx="166">
                  <c:v>0.37020250773532737</c:v>
                </c:pt>
                <c:pt idx="167">
                  <c:v>0.36948004729902206</c:v>
                </c:pt>
                <c:pt idx="168">
                  <c:v>0.36875574607094597</c:v>
                </c:pt>
                <c:pt idx="169">
                  <c:v>0.36802959699006704</c:v>
                </c:pt>
                <c:pt idx="170">
                  <c:v>0.36730159298059445</c:v>
                </c:pt>
                <c:pt idx="171">
                  <c:v>0.36657172695222862</c:v>
                </c:pt>
                <c:pt idx="172">
                  <c:v>0.36583999180039911</c:v>
                </c:pt>
                <c:pt idx="173">
                  <c:v>0.36510638040652593</c:v>
                </c:pt>
                <c:pt idx="174">
                  <c:v>0.36437088563828712</c:v>
                </c:pt>
                <c:pt idx="175">
                  <c:v>0.36363350034987152</c:v>
                </c:pt>
                <c:pt idx="176">
                  <c:v>0.36289421738226874</c:v>
                </c:pt>
                <c:pt idx="177">
                  <c:v>0.36215302956353329</c:v>
                </c:pt>
                <c:pt idx="178">
                  <c:v>0.36140992970907665</c:v>
                </c:pt>
                <c:pt idx="179">
                  <c:v>0.36066491062196476</c:v>
                </c:pt>
                <c:pt idx="180">
                  <c:v>0.35991796509320328</c:v>
                </c:pt>
                <c:pt idx="181">
                  <c:v>0.35916908590204794</c:v>
                </c:pt>
                <c:pt idx="182">
                  <c:v>0.35841826581632152</c:v>
                </c:pt>
                <c:pt idx="183">
                  <c:v>0.35766549759271626</c:v>
                </c:pt>
                <c:pt idx="184">
                  <c:v>0.356910773977134</c:v>
                </c:pt>
                <c:pt idx="185">
                  <c:v>0.35615408770500151</c:v>
                </c:pt>
                <c:pt idx="186">
                  <c:v>0.35539543150161507</c:v>
                </c:pt>
                <c:pt idx="187">
                  <c:v>0.35463479808248893</c:v>
                </c:pt>
                <c:pt idx="188">
                  <c:v>0.35387218015369437</c:v>
                </c:pt>
                <c:pt idx="189">
                  <c:v>0.35310757041222385</c:v>
                </c:pt>
                <c:pt idx="190">
                  <c:v>0.35234096154636146</c:v>
                </c:pt>
                <c:pt idx="191">
                  <c:v>0.35157234623604061</c:v>
                </c:pt>
                <c:pt idx="192">
                  <c:v>0.35080171715323955</c:v>
                </c:pt>
                <c:pt idx="193">
                  <c:v>0.35002906696235347</c:v>
                </c:pt>
                <c:pt idx="194">
                  <c:v>0.34925438832059391</c:v>
                </c:pt>
                <c:pt idx="195">
                  <c:v>0.34847767387839745</c:v>
                </c:pt>
                <c:pt idx="196">
                  <c:v>0.34769891627982069</c:v>
                </c:pt>
                <c:pt idx="197">
                  <c:v>0.34691810816296348</c:v>
                </c:pt>
                <c:pt idx="198">
                  <c:v>0.34613524216039959</c:v>
                </c:pt>
                <c:pt idx="199">
                  <c:v>0.34535031089959328</c:v>
                </c:pt>
                <c:pt idx="200">
                  <c:v>0.34456330700335647</c:v>
                </c:pt>
                <c:pt idx="201">
                  <c:v>0.34377422309028122</c:v>
                </c:pt>
                <c:pt idx="202">
                  <c:v>0.34298305177520166</c:v>
                </c:pt>
                <c:pt idx="203">
                  <c:v>0.34218978566966518</c:v>
                </c:pt>
                <c:pt idx="204">
                  <c:v>0.34139441738239046</c:v>
                </c:pt>
                <c:pt idx="205">
                  <c:v>0.34059693951975478</c:v>
                </c:pt>
                <c:pt idx="206">
                  <c:v>0.33979734468628919</c:v>
                </c:pt>
                <c:pt idx="207">
                  <c:v>0.3389956254851601</c:v>
                </c:pt>
                <c:pt idx="208">
                  <c:v>0.33819177451869226</c:v>
                </c:pt>
                <c:pt idx="209">
                  <c:v>0.33738578438886824</c:v>
                </c:pt>
                <c:pt idx="210">
                  <c:v>0.33657764769785703</c:v>
                </c:pt>
                <c:pt idx="211">
                  <c:v>0.33576735704855287</c:v>
                </c:pt>
                <c:pt idx="212">
                  <c:v>0.33495490504510195</c:v>
                </c:pt>
                <c:pt idx="213">
                  <c:v>0.33414028429345882</c:v>
                </c:pt>
                <c:pt idx="214">
                  <c:v>0.33332348740195111</c:v>
                </c:pt>
                <c:pt idx="215">
                  <c:v>0.3325045069818312</c:v>
                </c:pt>
                <c:pt idx="216">
                  <c:v>0.33168333564787134</c:v>
                </c:pt>
                <c:pt idx="217">
                  <c:v>0.33085996601893281</c:v>
                </c:pt>
                <c:pt idx="218">
                  <c:v>0.3300343907185681</c:v>
                </c:pt>
                <c:pt idx="219">
                  <c:v>0.32920660237563237</c:v>
                </c:pt>
                <c:pt idx="220">
                  <c:v>0.32837659362488342</c:v>
                </c:pt>
                <c:pt idx="221">
                  <c:v>0.32754435710761221</c:v>
                </c:pt>
                <c:pt idx="222">
                  <c:v>0.32670988547228214</c:v>
                </c:pt>
                <c:pt idx="223">
                  <c:v>0.32587317137515648</c:v>
                </c:pt>
                <c:pt idx="224">
                  <c:v>0.32503420748096873</c:v>
                </c:pt>
                <c:pt idx="225">
                  <c:v>0.32419298646356853</c:v>
                </c:pt>
                <c:pt idx="226">
                  <c:v>0.32334950100660165</c:v>
                </c:pt>
                <c:pt idx="227">
                  <c:v>0.32250374380419772</c:v>
                </c:pt>
                <c:pt idx="228">
                  <c:v>0.32165570756164946</c:v>
                </c:pt>
                <c:pt idx="229">
                  <c:v>0.32080538499612166</c:v>
                </c:pt>
                <c:pt idx="230">
                  <c:v>0.31995276883737017</c:v>
                </c:pt>
                <c:pt idx="231">
                  <c:v>0.3190978518284488</c:v>
                </c:pt>
                <c:pt idx="232">
                  <c:v>0.31824062672646031</c:v>
                </c:pt>
                <c:pt idx="233">
                  <c:v>0.31738108630328377</c:v>
                </c:pt>
                <c:pt idx="234">
                  <c:v>0.31651922334633509</c:v>
                </c:pt>
                <c:pt idx="235">
                  <c:v>0.31565503065933814</c:v>
                </c:pt>
                <c:pt idx="236">
                  <c:v>0.31478850106308581</c:v>
                </c:pt>
                <c:pt idx="237">
                  <c:v>0.31391962739623192</c:v>
                </c:pt>
                <c:pt idx="238">
                  <c:v>0.31304840251609439</c:v>
                </c:pt>
                <c:pt idx="239">
                  <c:v>0.31217481929944563</c:v>
                </c:pt>
                <c:pt idx="240">
                  <c:v>0.31129887064334893</c:v>
                </c:pt>
                <c:pt idx="241">
                  <c:v>0.3104205494659697</c:v>
                </c:pt>
                <c:pt idx="242">
                  <c:v>0.3095398487074224</c:v>
                </c:pt>
                <c:pt idx="243">
                  <c:v>0.30865676133062731</c:v>
                </c:pt>
                <c:pt idx="244">
                  <c:v>0.3077712803221575</c:v>
                </c:pt>
                <c:pt idx="245">
                  <c:v>0.30688339869311804</c:v>
                </c:pt>
                <c:pt idx="246">
                  <c:v>0.30599310948003594</c:v>
                </c:pt>
                <c:pt idx="247">
                  <c:v>0.30510040574573855</c:v>
                </c:pt>
                <c:pt idx="248">
                  <c:v>0.30420528058027702</c:v>
                </c:pt>
                <c:pt idx="249">
                  <c:v>0.3033077271018268</c:v>
                </c:pt>
                <c:pt idx="250">
                  <c:v>0.3024077384576222</c:v>
                </c:pt>
                <c:pt idx="251">
                  <c:v>0.3015053078249027</c:v>
                </c:pt>
                <c:pt idx="252">
                  <c:v>0.30060042841184881</c:v>
                </c:pt>
                <c:pt idx="253">
                  <c:v>0.29969309345855116</c:v>
                </c:pt>
                <c:pt idx="254">
                  <c:v>0.29878329623799027</c:v>
                </c:pt>
                <c:pt idx="255">
                  <c:v>0.29787103005700372</c:v>
                </c:pt>
                <c:pt idx="256">
                  <c:v>0.29695628825730203</c:v>
                </c:pt>
                <c:pt idx="257">
                  <c:v>0.29603906421645765</c:v>
                </c:pt>
                <c:pt idx="258">
                  <c:v>0.29511935134893169</c:v>
                </c:pt>
                <c:pt idx="259">
                  <c:v>0.29419714310711009</c:v>
                </c:pt>
                <c:pt idx="260">
                  <c:v>0.2932724329823313</c:v>
                </c:pt>
                <c:pt idx="261">
                  <c:v>0.29234521450594569</c:v>
                </c:pt>
                <c:pt idx="262">
                  <c:v>0.2914154812503873</c:v>
                </c:pt>
                <c:pt idx="263">
                  <c:v>0.29048322683023242</c:v>
                </c:pt>
                <c:pt idx="264">
                  <c:v>0.289548444903306</c:v>
                </c:pt>
                <c:pt idx="265">
                  <c:v>0.2886111291717634</c:v>
                </c:pt>
                <c:pt idx="266">
                  <c:v>0.28767127338320764</c:v>
                </c:pt>
                <c:pt idx="267">
                  <c:v>0.28672887133181796</c:v>
                </c:pt>
                <c:pt idx="268">
                  <c:v>0.2857839168594678</c:v>
                </c:pt>
                <c:pt idx="269">
                  <c:v>0.28483640385687686</c:v>
                </c:pt>
                <c:pt idx="270">
                  <c:v>0.28388632626477373</c:v>
                </c:pt>
                <c:pt idx="271">
                  <c:v>0.28293367807504533</c:v>
                </c:pt>
                <c:pt idx="272">
                  <c:v>0.28197845333193555</c:v>
                </c:pt>
                <c:pt idx="273">
                  <c:v>0.28102064613321664</c:v>
                </c:pt>
                <c:pt idx="274">
                  <c:v>0.28006025063139811</c:v>
                </c:pt>
                <c:pt idx="275">
                  <c:v>0.27909726103494564</c:v>
                </c:pt>
                <c:pt idx="276">
                  <c:v>0.27813167160948971</c:v>
                </c:pt>
                <c:pt idx="277">
                  <c:v>0.27716347667906693</c:v>
                </c:pt>
                <c:pt idx="278">
                  <c:v>0.27619267062737329</c:v>
                </c:pt>
                <c:pt idx="279">
                  <c:v>0.27521924789900248</c:v>
                </c:pt>
                <c:pt idx="280">
                  <c:v>0.27424320300073374</c:v>
                </c:pt>
                <c:pt idx="281">
                  <c:v>0.2732645305027922</c:v>
                </c:pt>
                <c:pt idx="282">
                  <c:v>0.2722832250401454</c:v>
                </c:pt>
                <c:pt idx="283">
                  <c:v>0.27129928131381015</c:v>
                </c:pt>
                <c:pt idx="284">
                  <c:v>0.27031269409214881</c:v>
                </c:pt>
                <c:pt idx="285">
                  <c:v>0.26932345821219988</c:v>
                </c:pt>
                <c:pt idx="286">
                  <c:v>0.26833156858100715</c:v>
                </c:pt>
                <c:pt idx="287">
                  <c:v>0.26733702017696109</c:v>
                </c:pt>
                <c:pt idx="288">
                  <c:v>0.26633980805115159</c:v>
                </c:pt>
                <c:pt idx="289">
                  <c:v>0.26533992732872952</c:v>
                </c:pt>
                <c:pt idx="290">
                  <c:v>0.26433737321028067</c:v>
                </c:pt>
                <c:pt idx="291">
                  <c:v>0.26333214097320701</c:v>
                </c:pt>
                <c:pt idx="292">
                  <c:v>0.26232422597312033</c:v>
                </c:pt>
                <c:pt idx="293">
                  <c:v>0.26131362364524241</c:v>
                </c:pt>
                <c:pt idx="294">
                  <c:v>0.26030032950581927</c:v>
                </c:pt>
                <c:pt idx="295">
                  <c:v>0.25928433915354104</c:v>
                </c:pt>
                <c:pt idx="296">
                  <c:v>0.25826564827097298</c:v>
                </c:pt>
                <c:pt idx="297">
                  <c:v>0.25724425262599476</c:v>
                </c:pt>
                <c:pt idx="298">
                  <c:v>0.25622014807325083</c:v>
                </c:pt>
                <c:pt idx="299">
                  <c:v>0.25519333055560728</c:v>
                </c:pt>
                <c:pt idx="300">
                  <c:v>0.25416379610561896</c:v>
                </c:pt>
                <c:pt idx="301">
                  <c:v>0.25313154084700412</c:v>
                </c:pt>
                <c:pt idx="302">
                  <c:v>0.25209656099612926</c:v>
                </c:pt>
                <c:pt idx="303">
                  <c:v>0.25105885286350044</c:v>
                </c:pt>
                <c:pt idx="304">
                  <c:v>0.25001841285526394</c:v>
                </c:pt>
                <c:pt idx="305">
                  <c:v>0.24897523747471301</c:v>
                </c:pt>
                <c:pt idx="306">
                  <c:v>0.24792932332380507</c:v>
                </c:pt>
                <c:pt idx="307">
                  <c:v>0.24688066710468479</c:v>
                </c:pt>
                <c:pt idx="308">
                  <c:v>0.24582926562121324</c:v>
                </c:pt>
                <c:pt idx="309">
                  <c:v>0.24477511578050754</c:v>
                </c:pt>
                <c:pt idx="310">
                  <c:v>0.24371821459448417</c:v>
                </c:pt>
                <c:pt idx="311">
                  <c:v>0.24265855918141088</c:v>
                </c:pt>
                <c:pt idx="312">
                  <c:v>0.2415961467674633</c:v>
                </c:pt>
                <c:pt idx="313">
                  <c:v>0.24053097468829046</c:v>
                </c:pt>
                <c:pt idx="314">
                  <c:v>0.2394630403905838</c:v>
                </c:pt>
                <c:pt idx="315">
                  <c:v>0.23839234143365315</c:v>
                </c:pt>
                <c:pt idx="316">
                  <c:v>0.23731887549100691</c:v>
                </c:pt>
                <c:pt idx="317">
                  <c:v>0.23624264035194012</c:v>
                </c:pt>
                <c:pt idx="318">
                  <c:v>0.23516363392312475</c:v>
                </c:pt>
                <c:pt idx="319">
                  <c:v>0.23408185423020622</c:v>
                </c:pt>
                <c:pt idx="320">
                  <c:v>0.23299729941940298</c:v>
                </c:pt>
                <c:pt idx="321">
                  <c:v>0.23190996775911291</c:v>
                </c:pt>
                <c:pt idx="322">
                  <c:v>0.23081985764152049</c:v>
                </c:pt>
                <c:pt idx="323">
                  <c:v>0.22972696758420985</c:v>
                </c:pt>
                <c:pt idx="324">
                  <c:v>0.22863129623177894</c:v>
                </c:pt>
                <c:pt idx="325">
                  <c:v>0.22753284235745974</c:v>
                </c:pt>
                <c:pt idx="326">
                  <c:v>0.22643160486473818</c:v>
                </c:pt>
                <c:pt idx="327">
                  <c:v>0.22532758278897816</c:v>
                </c:pt>
                <c:pt idx="328">
                  <c:v>0.22422077529904633</c:v>
                </c:pt>
                <c:pt idx="329">
                  <c:v>0.22311118169894048</c:v>
                </c:pt>
                <c:pt idx="330">
                  <c:v>0.22199880142941747</c:v>
                </c:pt>
                <c:pt idx="331">
                  <c:v>0.2208836340696235</c:v>
                </c:pt>
                <c:pt idx="332">
                  <c:v>0.21976567933872321</c:v>
                </c:pt>
                <c:pt idx="333">
                  <c:v>0.21864493709753224</c:v>
                </c:pt>
                <c:pt idx="334">
                  <c:v>0.21752140735014702</c:v>
                </c:pt>
                <c:pt idx="335">
                  <c:v>0.21639509024557571</c:v>
                </c:pt>
                <c:pt idx="336">
                  <c:v>0.2152659860793667</c:v>
                </c:pt>
                <c:pt idx="337">
                  <c:v>0.21413409529523914</c:v>
                </c:pt>
                <c:pt idx="338">
                  <c:v>0.21299941848670884</c:v>
                </c:pt>
                <c:pt idx="339">
                  <c:v>0.21186195639871425</c:v>
                </c:pt>
                <c:pt idx="340">
                  <c:v>0.21072170992923853</c:v>
                </c:pt>
                <c:pt idx="341">
                  <c:v>0.20957868013093159</c:v>
                </c:pt>
                <c:pt idx="342">
                  <c:v>0.20843286821272644</c:v>
                </c:pt>
                <c:pt idx="343">
                  <c:v>0.20728427554145393</c:v>
                </c:pt>
                <c:pt idx="344">
                  <c:v>0.20613290364345171</c:v>
                </c:pt>
                <c:pt idx="345">
                  <c:v>0.20497875420617204</c:v>
                </c:pt>
                <c:pt idx="346">
                  <c:v>0.20382182907978186</c:v>
                </c:pt>
                <c:pt idx="347">
                  <c:v>0.20266213027875968</c:v>
                </c:pt>
                <c:pt idx="348">
                  <c:v>0.20149965998348518</c:v>
                </c:pt>
                <c:pt idx="349">
                  <c:v>0.20033442054182582</c:v>
                </c:pt>
                <c:pt idx="350">
                  <c:v>0.19916641447071373</c:v>
                </c:pt>
                <c:pt idx="351">
                  <c:v>0.19799564445771864</c:v>
                </c:pt>
                <c:pt idx="352">
                  <c:v>0.19682211336261046</c:v>
                </c:pt>
                <c:pt idx="353">
                  <c:v>0.19564582421891794</c:v>
                </c:pt>
                <c:pt idx="354">
                  <c:v>0.19446678023547623</c:v>
                </c:pt>
                <c:pt idx="355">
                  <c:v>0.19328498479796707</c:v>
                </c:pt>
                <c:pt idx="356">
                  <c:v>0.19210044147044875</c:v>
                </c:pt>
                <c:pt idx="357">
                  <c:v>0.19091315399687911</c:v>
                </c:pt>
                <c:pt idx="358">
                  <c:v>0.18972312630262578</c:v>
                </c:pt>
                <c:pt idx="359">
                  <c:v>0.18853036249596766</c:v>
                </c:pt>
                <c:pt idx="360">
                  <c:v>0.18733486686958389</c:v>
                </c:pt>
                <c:pt idx="361">
                  <c:v>0.18613664390203383</c:v>
                </c:pt>
                <c:pt idx="362">
                  <c:v>0.18493569825922332</c:v>
                </c:pt>
                <c:pt idx="363">
                  <c:v>0.18373203479585795</c:v>
                </c:pt>
                <c:pt idx="364">
                  <c:v>0.18252565855688632</c:v>
                </c:pt>
                <c:pt idx="365">
                  <c:v>0.18131657477892743</c:v>
                </c:pt>
                <c:pt idx="366">
                  <c:v>0.18010478889168482</c:v>
                </c:pt>
                <c:pt idx="367">
                  <c:v>0.17889030651934745</c:v>
                </c:pt>
                <c:pt idx="368">
                  <c:v>0.17767313348197386</c:v>
                </c:pt>
                <c:pt idx="369">
                  <c:v>0.17645327579686376</c:v>
                </c:pt>
                <c:pt idx="370">
                  <c:v>0.17523073967991157</c:v>
                </c:pt>
                <c:pt idx="371">
                  <c:v>0.1740055315469439</c:v>
                </c:pt>
                <c:pt idx="372">
                  <c:v>0.17277765801504227</c:v>
                </c:pt>
                <c:pt idx="373">
                  <c:v>0.1715471259038463</c:v>
                </c:pt>
                <c:pt idx="374">
                  <c:v>0.17031394223684035</c:v>
                </c:pt>
                <c:pt idx="375">
                  <c:v>0.1690781142426219</c:v>
                </c:pt>
                <c:pt idx="376">
                  <c:v>0.16783964935614987</c:v>
                </c:pt>
                <c:pt idx="377">
                  <c:v>0.16659855521997669</c:v>
                </c:pt>
                <c:pt idx="378">
                  <c:v>0.16535483968545797</c:v>
                </c:pt>
                <c:pt idx="379">
                  <c:v>0.16410851081394182</c:v>
                </c:pt>
                <c:pt idx="380">
                  <c:v>0.1628595768779405</c:v>
                </c:pt>
                <c:pt idx="381">
                  <c:v>0.1616080463622776</c:v>
                </c:pt>
                <c:pt idx="382">
                  <c:v>0.16035392796521522</c:v>
                </c:pt>
                <c:pt idx="383">
                  <c:v>0.15909723059955913</c:v>
                </c:pt>
                <c:pt idx="384">
                  <c:v>0.15783796339373934</c:v>
                </c:pt>
                <c:pt idx="385">
                  <c:v>0.15657613569287118</c:v>
                </c:pt>
                <c:pt idx="386">
                  <c:v>0.15531175705978928</c:v>
                </c:pt>
                <c:pt idx="387">
                  <c:v>0.15404483727605933</c:v>
                </c:pt>
                <c:pt idx="388">
                  <c:v>0.15277538634296411</c:v>
                </c:pt>
                <c:pt idx="389">
                  <c:v>0.15150341448246654</c:v>
                </c:pt>
                <c:pt idx="390">
                  <c:v>0.15022893213814495</c:v>
                </c:pt>
                <c:pt idx="391">
                  <c:v>0.14895194997610392</c:v>
                </c:pt>
                <c:pt idx="392">
                  <c:v>0.14767247888585711</c:v>
                </c:pt>
                <c:pt idx="393">
                  <c:v>0.14639052998118599</c:v>
                </c:pt>
                <c:pt idx="394">
                  <c:v>0.14510611460096834</c:v>
                </c:pt>
                <c:pt idx="395">
                  <c:v>0.14381924430998072</c:v>
                </c:pt>
                <c:pt idx="396">
                  <c:v>0.14252993089967114</c:v>
                </c:pt>
                <c:pt idx="397">
                  <c:v>0.14123818638890612</c:v>
                </c:pt>
                <c:pt idx="398">
                  <c:v>0.13994402302468503</c:v>
                </c:pt>
                <c:pt idx="399">
                  <c:v>0.13864745328282765</c:v>
                </c:pt>
                <c:pt idx="400">
                  <c:v>0.13734848986862933</c:v>
                </c:pt>
                <c:pt idx="401">
                  <c:v>0.13604714571748902</c:v>
                </c:pt>
                <c:pt idx="402">
                  <c:v>0.13474343399550376</c:v>
                </c:pt>
                <c:pt idx="403">
                  <c:v>0.13343736810003343</c:v>
                </c:pt>
                <c:pt idx="404">
                  <c:v>0.13212896166023239</c:v>
                </c:pt>
                <c:pt idx="405">
                  <c:v>0.13081822853755234</c:v>
                </c:pt>
                <c:pt idx="406">
                  <c:v>0.12950518282620935</c:v>
                </c:pt>
                <c:pt idx="407">
                  <c:v>0.12818983885362054</c:v>
                </c:pt>
                <c:pt idx="408">
                  <c:v>0.12687221118080577</c:v>
                </c:pt>
                <c:pt idx="409">
                  <c:v>0.12555231460275856</c:v>
                </c:pt>
                <c:pt idx="410">
                  <c:v>0.12423016414878083</c:v>
                </c:pt>
                <c:pt idx="411">
                  <c:v>0.12290577508278487</c:v>
                </c:pt>
                <c:pt idx="412">
                  <c:v>0.1215791629035594</c:v>
                </c:pt>
                <c:pt idx="413">
                  <c:v>0.12025034334500349</c:v>
                </c:pt>
                <c:pt idx="414">
                  <c:v>0.11891933237632307</c:v>
                </c:pt>
                <c:pt idx="415">
                  <c:v>0.117586146202193</c:v>
                </c:pt>
                <c:pt idx="416">
                  <c:v>0.11625080126288249</c:v>
                </c:pt>
                <c:pt idx="417">
                  <c:v>0.11491331423434702</c:v>
                </c:pt>
                <c:pt idx="418">
                  <c:v>0.1135737020282815</c:v>
                </c:pt>
                <c:pt idx="419">
                  <c:v>0.11223198179213718</c:v>
                </c:pt>
                <c:pt idx="420">
                  <c:v>0.11088817090910402</c:v>
                </c:pt>
                <c:pt idx="421">
                  <c:v>0.10954228699805363</c:v>
                </c:pt>
                <c:pt idx="422">
                  <c:v>0.1081943479134462</c:v>
                </c:pt>
                <c:pt idx="423">
                  <c:v>0.10684437174519883</c:v>
                </c:pt>
                <c:pt idx="424">
                  <c:v>0.10549237681851853</c:v>
                </c:pt>
                <c:pt idx="425">
                  <c:v>0.10413838169369499</c:v>
                </c:pt>
                <c:pt idx="426">
                  <c:v>0.10278240516585659</c:v>
                </c:pt>
                <c:pt idx="427">
                  <c:v>0.10142446626468692</c:v>
                </c:pt>
                <c:pt idx="428">
                  <c:v>0.10006458425410523</c:v>
                </c:pt>
                <c:pt idx="429">
                  <c:v>9.8702778631906074E-2</c:v>
                </c:pt>
                <c:pt idx="430">
                  <c:v>9.7339069129361494E-2</c:v>
                </c:pt>
                <c:pt idx="431">
                  <c:v>9.5973475710783046E-2</c:v>
                </c:pt>
                <c:pt idx="432">
                  <c:v>9.4606018573047512E-2</c:v>
                </c:pt>
                <c:pt idx="433">
                  <c:v>9.3236718145080846E-2</c:v>
                </c:pt>
                <c:pt idx="434">
                  <c:v>9.186559508730481E-2</c:v>
                </c:pt>
                <c:pt idx="435">
                  <c:v>9.0492670291042368E-2</c:v>
                </c:pt>
                <c:pt idx="436">
                  <c:v>8.9117964877887132E-2</c:v>
                </c:pt>
                <c:pt idx="437">
                  <c:v>8.7741500199030278E-2</c:v>
                </c:pt>
                <c:pt idx="438">
                  <c:v>8.6363297834550004E-2</c:v>
                </c:pt>
                <c:pt idx="439">
                  <c:v>8.4983379592659697E-2</c:v>
                </c:pt>
                <c:pt idx="440">
                  <c:v>8.3601767508920011E-2</c:v>
                </c:pt>
                <c:pt idx="441">
                  <c:v>8.2218483845408086E-2</c:v>
                </c:pt>
                <c:pt idx="442">
                  <c:v>8.0833551089849645E-2</c:v>
                </c:pt>
                <c:pt idx="443">
                  <c:v>7.944699195470957E-2</c:v>
                </c:pt>
                <c:pt idx="444">
                  <c:v>7.8058829376246502E-2</c:v>
                </c:pt>
                <c:pt idx="445">
                  <c:v>7.666908651352479E-2</c:v>
                </c:pt>
                <c:pt idx="446">
                  <c:v>7.5277786747389511E-2</c:v>
                </c:pt>
                <c:pt idx="447">
                  <c:v>7.3884953679400192E-2</c:v>
                </c:pt>
                <c:pt idx="448">
                  <c:v>7.2490611130728647E-2</c:v>
                </c:pt>
                <c:pt idx="449">
                  <c:v>7.1094783141014972E-2</c:v>
                </c:pt>
                <c:pt idx="450">
                  <c:v>6.9697493967186552E-2</c:v>
                </c:pt>
                <c:pt idx="451">
                  <c:v>6.8298768082236366E-2</c:v>
                </c:pt>
                <c:pt idx="452">
                  <c:v>6.6898630173966189E-2</c:v>
                </c:pt>
                <c:pt idx="453">
                  <c:v>6.5497105143688117E-2</c:v>
                </c:pt>
                <c:pt idx="454">
                  <c:v>6.4094218104889869E-2</c:v>
                </c:pt>
                <c:pt idx="455">
                  <c:v>6.2689994381860251E-2</c:v>
                </c:pt>
                <c:pt idx="456">
                  <c:v>6.1284459508279952E-2</c:v>
                </c:pt>
                <c:pt idx="457">
                  <c:v>5.9877639225771578E-2</c:v>
                </c:pt>
                <c:pt idx="458">
                  <c:v>5.8469559482414377E-2</c:v>
                </c:pt>
                <c:pt idx="459">
                  <c:v>5.7060246431219853E-2</c:v>
                </c:pt>
                <c:pt idx="460">
                  <c:v>5.5649726428573749E-2</c:v>
                </c:pt>
                <c:pt idx="461">
                  <c:v>5.4238026032638255E-2</c:v>
                </c:pt>
                <c:pt idx="462">
                  <c:v>5.2825172001719857E-2</c:v>
                </c:pt>
                <c:pt idx="463">
                  <c:v>5.1411191292599363E-2</c:v>
                </c:pt>
                <c:pt idx="464">
                  <c:v>4.9996111058829187E-2</c:v>
                </c:pt>
                <c:pt idx="465">
                  <c:v>4.8579958648992332E-2</c:v>
                </c:pt>
                <c:pt idx="466">
                  <c:v>4.716276160492807E-2</c:v>
                </c:pt>
                <c:pt idx="467">
                  <c:v>4.57445476599211E-2</c:v>
                </c:pt>
                <c:pt idx="468">
                  <c:v>4.4325344736859493E-2</c:v>
                </c:pt>
                <c:pt idx="469">
                  <c:v>4.2905180946355453E-2</c:v>
                </c:pt>
                <c:pt idx="470">
                  <c:v>4.1484084584834491E-2</c:v>
                </c:pt>
                <c:pt idx="471">
                  <c:v>4.0062084132589423E-2</c:v>
                </c:pt>
                <c:pt idx="472">
                  <c:v>3.8639208251804724E-2</c:v>
                </c:pt>
                <c:pt idx="473">
                  <c:v>3.7215485784545539E-2</c:v>
                </c:pt>
                <c:pt idx="474">
                  <c:v>3.5790945750715085E-2</c:v>
                </c:pt>
                <c:pt idx="475">
                  <c:v>3.4365617345982889E-2</c:v>
                </c:pt>
                <c:pt idx="476">
                  <c:v>3.2939529939679101E-2</c:v>
                </c:pt>
                <c:pt idx="477">
                  <c:v>3.1512713072660022E-2</c:v>
                </c:pt>
                <c:pt idx="478">
                  <c:v>3.0085196455141489E-2</c:v>
                </c:pt>
                <c:pt idx="479">
                  <c:v>2.8657009964506017E-2</c:v>
                </c:pt>
                <c:pt idx="480">
                  <c:v>2.7228183643076945E-2</c:v>
                </c:pt>
                <c:pt idx="481">
                  <c:v>2.579874769586615E-2</c:v>
                </c:pt>
                <c:pt idx="482">
                  <c:v>2.4368732488293084E-2</c:v>
                </c:pt>
                <c:pt idx="483">
                  <c:v>2.2938168543875835E-2</c:v>
                </c:pt>
                <c:pt idx="484">
                  <c:v>2.1507086541895485E-2</c:v>
                </c:pt>
                <c:pt idx="485">
                  <c:v>2.0075517315033344E-2</c:v>
                </c:pt>
                <c:pt idx="486">
                  <c:v>1.8643491846982718E-2</c:v>
                </c:pt>
                <c:pt idx="487">
                  <c:v>1.7211041270034512E-2</c:v>
                </c:pt>
                <c:pt idx="488">
                  <c:v>1.5778196862638455E-2</c:v>
                </c:pt>
                <c:pt idx="489">
                  <c:v>1.4344990046939428E-2</c:v>
                </c:pt>
                <c:pt idx="490">
                  <c:v>1.2911452386290411E-2</c:v>
                </c:pt>
                <c:pt idx="491">
                  <c:v>1.1477615582741742E-2</c:v>
                </c:pt>
                <c:pt idx="492">
                  <c:v>1.0043511474508205E-2</c:v>
                </c:pt>
                <c:pt idx="493">
                  <c:v>8.609172033413515E-3</c:v>
                </c:pt>
                <c:pt idx="494">
                  <c:v>7.1746293623138812E-3</c:v>
                </c:pt>
                <c:pt idx="495">
                  <c:v>5.7399156925001943E-3</c:v>
                </c:pt>
                <c:pt idx="496">
                  <c:v>4.3050633810804541E-3</c:v>
                </c:pt>
                <c:pt idx="497">
                  <c:v>2.8701049083420778E-3</c:v>
                </c:pt>
                <c:pt idx="498">
                  <c:v>1.4350728750956697E-3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7.061464025793024E+17</c:v>
                </c:pt>
                <c:pt idx="1">
                  <c:v>20527888.461167537</c:v>
                </c:pt>
                <c:pt idx="2">
                  <c:v>5120579.4433228904</c:v>
                </c:pt>
                <c:pt idx="3">
                  <c:v>2270757.2111560032</c:v>
                </c:pt>
                <c:pt idx="4">
                  <c:v>1274461.2360782386</c:v>
                </c:pt>
                <c:pt idx="5">
                  <c:v>813840.49366021727</c:v>
                </c:pt>
                <c:pt idx="6">
                  <c:v>563908.68137276045</c:v>
                </c:pt>
                <c:pt idx="7">
                  <c:v>413377.14852259791</c:v>
                </c:pt>
                <c:pt idx="8">
                  <c:v>315786.18002731493</c:v>
                </c:pt>
                <c:pt idx="9">
                  <c:v>248953.31107728518</c:v>
                </c:pt>
                <c:pt idx="10">
                  <c:v>201201.8823878915</c:v>
                </c:pt>
                <c:pt idx="11">
                  <c:v>165910.95521279014</c:v>
                </c:pt>
                <c:pt idx="12">
                  <c:v>139099.51497867247</c:v>
                </c:pt>
                <c:pt idx="13">
                  <c:v>118257.40769582795</c:v>
                </c:pt>
                <c:pt idx="14">
                  <c:v>101738.47318634506</c:v>
                </c:pt>
                <c:pt idx="15">
                  <c:v>88426.873870902142</c:v>
                </c:pt>
                <c:pt idx="16">
                  <c:v>77544.607271813977</c:v>
                </c:pt>
                <c:pt idx="17">
                  <c:v>68535.844974509819</c:v>
                </c:pt>
                <c:pt idx="18">
                  <c:v>60994.956048562337</c:v>
                </c:pt>
                <c:pt idx="19">
                  <c:v>54620.329856053751</c:v>
                </c:pt>
                <c:pt idx="20">
                  <c:v>49183.947705226732</c:v>
                </c:pt>
                <c:pt idx="21">
                  <c:v>44510.851929531855</c:v>
                </c:pt>
                <c:pt idx="22">
                  <c:v>40464.997650909398</c:v>
                </c:pt>
                <c:pt idx="23">
                  <c:v>36939.316628231114</c:v>
                </c:pt>
                <c:pt idx="24">
                  <c:v>33848.618972542521</c:v>
                </c:pt>
                <c:pt idx="25">
                  <c:v>31124.443016626956</c:v>
                </c:pt>
                <c:pt idx="26">
                  <c:v>28711.26552394086</c:v>
                </c:pt>
                <c:pt idx="27">
                  <c:v>26563.676653240196</c:v>
                </c:pt>
                <c:pt idx="28">
                  <c:v>24644.248939481189</c:v>
                </c:pt>
                <c:pt idx="29">
                  <c:v>22921.91210903454</c:v>
                </c:pt>
                <c:pt idx="30">
                  <c:v>21370.70105506642</c:v>
                </c:pt>
                <c:pt idx="31">
                  <c:v>19968.782195048829</c:v>
                </c:pt>
                <c:pt idx="32">
                  <c:v>18697.689673889483</c:v>
                </c:pt>
                <c:pt idx="33">
                  <c:v>17541.721286989261</c:v>
                </c:pt>
                <c:pt idx="34">
                  <c:v>16487.457073827049</c:v>
                </c:pt>
                <c:pt idx="35">
                  <c:v>15523.372926039559</c:v>
                </c:pt>
                <c:pt idx="36">
                  <c:v>14639.528374189813</c:v>
                </c:pt>
                <c:pt idx="37">
                  <c:v>13827.312719247804</c:v>
                </c:pt>
                <c:pt idx="38">
                  <c:v>13079.237377089452</c:v>
                </c:pt>
                <c:pt idx="39">
                  <c:v>12388.76506964231</c:v>
                </c:pt>
                <c:pt idx="40">
                  <c:v>11750.168578511391</c:v>
                </c:pt>
                <c:pt idx="41">
                  <c:v>11158.413357339641</c:v>
                </c:pt>
                <c:pt idx="42">
                  <c:v>10609.059507695496</c:v>
                </c:pt>
                <c:pt idx="43">
                  <c:v>10098.17955385027</c:v>
                </c:pt>
                <c:pt idx="44">
                  <c:v>9622.2891731862437</c:v>
                </c:pt>
                <c:pt idx="45">
                  <c:v>9178.288601819575</c:v>
                </c:pt>
                <c:pt idx="46">
                  <c:v>8763.4128766732756</c:v>
                </c:pt>
                <c:pt idx="47">
                  <c:v>8375.1894239236917</c:v>
                </c:pt>
                <c:pt idx="48">
                  <c:v>8011.4017805232024</c:v>
                </c:pt>
                <c:pt idx="49">
                  <c:v>7670.0584562208378</c:v>
                </c:pt>
                <c:pt idx="50">
                  <c:v>7349.3661206605029</c:v>
                </c:pt>
                <c:pt idx="51">
                  <c:v>7047.7064426904217</c:v>
                </c:pt>
                <c:pt idx="52">
                  <c:v>6763.6160245357623</c:v>
                </c:pt>
                <c:pt idx="53">
                  <c:v>6495.7689673400182</c:v>
                </c:pt>
                <c:pt idx="54">
                  <c:v>6242.9616811869428</c:v>
                </c:pt>
                <c:pt idx="55">
                  <c:v>6004.0996155442162</c:v>
                </c:pt>
                <c:pt idx="56">
                  <c:v>5778.1856377536624</c:v>
                </c:pt>
                <c:pt idx="57">
                  <c:v>5564.3098298582772</c:v>
                </c:pt>
                <c:pt idx="58">
                  <c:v>5361.6405094709853</c:v>
                </c:pt>
                <c:pt idx="59">
                  <c:v>5169.4163097937571</c:v>
                </c:pt>
                <c:pt idx="60">
                  <c:v>4986.9391784665604</c:v>
                </c:pt>
                <c:pt idx="61">
                  <c:v>4813.5681754969955</c:v>
                </c:pt>
                <c:pt idx="62">
                  <c:v>4648.7139677826572</c:v>
                </c:pt>
                <c:pt idx="63">
                  <c:v>4491.8339322780284</c:v>
                </c:pt>
                <c:pt idx="64">
                  <c:v>4342.4277921732182</c:v>
                </c:pt>
                <c:pt idx="65">
                  <c:v>4200.0337208258034</c:v>
                </c:pt>
                <c:pt idx="66">
                  <c:v>4064.2248570691349</c:v>
                </c:pt>
                <c:pt idx="67">
                  <c:v>3934.6061830210747</c:v>
                </c:pt>
                <c:pt idx="68">
                  <c:v>3810.8117219620094</c:v>
                </c:pt>
                <c:pt idx="69">
                  <c:v>3692.5020193602518</c:v>
                </c:pt>
                <c:pt idx="70">
                  <c:v>3579.3618748331537</c:v>
                </c:pt>
                <c:pt idx="71">
                  <c:v>3471.0982968974577</c:v>
                </c:pt>
                <c:pt idx="72">
                  <c:v>3367.4386558723536</c:v>
                </c:pt>
                <c:pt idx="73">
                  <c:v>3268.1290133043099</c:v>
                </c:pt>
                <c:pt idx="74">
                  <c:v>3172.9326089162482</c:v>
                </c:pt>
                <c:pt idx="75">
                  <c:v>3081.628488346324</c:v>
                </c:pt>
                <c:pt idx="76">
                  <c:v>2994.0102569079477</c:v>
                </c:pt>
                <c:pt idx="77">
                  <c:v>2909.8849463347792</c:v>
                </c:pt>
                <c:pt idx="78">
                  <c:v>2829.0719829625509</c:v>
                </c:pt>
                <c:pt idx="79">
                  <c:v>2751.4022471070962</c:v>
                </c:pt>
                <c:pt idx="80">
                  <c:v>2676.7172145593236</c:v>
                </c:pt>
                <c:pt idx="81">
                  <c:v>2604.8681721030703</c:v>
                </c:pt>
                <c:pt idx="82">
                  <c:v>2535.7154998651572</c:v>
                </c:pt>
                <c:pt idx="83">
                  <c:v>2469.1280140725776</c:v>
                </c:pt>
                <c:pt idx="84">
                  <c:v>2404.9823644776538</c:v>
                </c:pt>
                <c:pt idx="85">
                  <c:v>2343.1624813260319</c:v>
                </c:pt>
                <c:pt idx="86">
                  <c:v>2283.5590672684166</c:v>
                </c:pt>
                <c:pt idx="87">
                  <c:v>2226.0691300919934</c:v>
                </c:pt>
                <c:pt idx="88">
                  <c:v>2170.5955525747754</c:v>
                </c:pt>
                <c:pt idx="89">
                  <c:v>2117.0466961295006</c:v>
                </c:pt>
                <c:pt idx="90">
                  <c:v>2065.3360352426162</c:v>
                </c:pt>
                <c:pt idx="91">
                  <c:v>2015.3818200073711</c:v>
                </c:pt>
                <c:pt idx="92">
                  <c:v>1967.1067643105227</c:v>
                </c:pt>
                <c:pt idx="93">
                  <c:v>1920.4377574731577</c:v>
                </c:pt>
                <c:pt idx="94">
                  <c:v>1875.3055973523849</c:v>
                </c:pt>
                <c:pt idx="95">
                  <c:v>1831.6447430977742</c:v>
                </c:pt>
                <c:pt idx="96">
                  <c:v>1789.3930859312734</c:v>
                </c:pt>
                <c:pt idx="97">
                  <c:v>1748.4917364625139</c:v>
                </c:pt>
                <c:pt idx="98">
                  <c:v>1708.8848271943816</c:v>
                </c:pt>
                <c:pt idx="99">
                  <c:v>1670.5193289923841</c:v>
                </c:pt>
                <c:pt idx="100">
                  <c:v>1633.3448804009365</c:v>
                </c:pt>
                <c:pt idx="101">
                  <c:v>1597.313628791846</c:v>
                </c:pt>
                <c:pt idx="102">
                  <c:v>1562.3800824175999</c:v>
                </c:pt>
                <c:pt idx="103">
                  <c:v>1528.5009725218856</c:v>
                </c:pt>
                <c:pt idx="104">
                  <c:v>1495.6351247372527</c:v>
                </c:pt>
                <c:pt idx="105">
                  <c:v>1463.7433390595804</c:v>
                </c:pt>
                <c:pt idx="106">
                  <c:v>1432.7882777554248</c:v>
                </c:pt>
                <c:pt idx="107">
                  <c:v>1402.7343606080558</c:v>
                </c:pt>
                <c:pt idx="108">
                  <c:v>1373.5476669584582</c:v>
                </c:pt>
                <c:pt idx="109">
                  <c:v>1345.1958440444173</c:v>
                </c:pt>
                <c:pt idx="110">
                  <c:v>1317.6480211785465</c:v>
                </c:pt>
                <c:pt idx="111">
                  <c:v>1290.8747293446088</c:v>
                </c:pt>
                <c:pt idx="112">
                  <c:v>1264.8478258263203</c:v>
                </c:pt>
                <c:pt idx="113">
                  <c:v>1239.5404235107135</c:v>
                </c:pt>
                <c:pt idx="114">
                  <c:v>1214.9268245395269</c:v>
                </c:pt>
                <c:pt idx="115">
                  <c:v>1190.9824580057759</c:v>
                </c:pt>
                <c:pt idx="116">
                  <c:v>1167.683821415395</c:v>
                </c:pt>
                <c:pt idx="117">
                  <c:v>1145.0084256582479</c:v>
                </c:pt>
                <c:pt idx="118">
                  <c:v>1122.934743249501</c:v>
                </c:pt>
                <c:pt idx="119">
                  <c:v>1101.4421596208704</c:v>
                </c:pt>
                <c:pt idx="120">
                  <c:v>1080.5109272601408</c:v>
                </c:pt>
                <c:pt idx="121">
                  <c:v>1060.1221225084009</c:v>
                </c:pt>
                <c:pt idx="122">
                  <c:v>1040.2576048422986</c:v>
                </c:pt>
                <c:pt idx="123">
                  <c:v>1020.8999784789609</c:v>
                </c:pt>
                <c:pt idx="124">
                  <c:v>1002.0325561530512</c:v>
                </c:pt>
                <c:pt idx="125">
                  <c:v>983.63932492796994</c:v>
                </c:pt>
                <c:pt idx="126">
                  <c:v>965.70491391131156</c:v>
                </c:pt>
                <c:pt idx="127">
                  <c:v>948.21456375398122</c:v>
                </c:pt>
                <c:pt idx="128">
                  <c:v>931.15409782287895</c:v>
                </c:pt>
                <c:pt idx="129">
                  <c:v>914.50989494143505</c:v>
                </c:pt>
                <c:pt idx="130">
                  <c:v>898.26886360281537</c:v>
                </c:pt>
                <c:pt idx="131">
                  <c:v>882.41841756531608</c:v>
                </c:pt>
                <c:pt idx="132">
                  <c:v>866.94645274546974</c:v>
                </c:pt>
                <c:pt idx="133">
                  <c:v>851.84132533166428</c:v>
                </c:pt>
                <c:pt idx="134">
                  <c:v>837.09183104482099</c:v>
                </c:pt>
                <c:pt idx="135">
                  <c:v>822.68718547774142</c:v>
                </c:pt>
                <c:pt idx="136">
                  <c:v>808.61700545038627</c:v>
                </c:pt>
                <c:pt idx="137">
                  <c:v>794.8712913207404</c:v>
                </c:pt>
                <c:pt idx="138">
                  <c:v>781.44041019654185</c:v>
                </c:pt>
                <c:pt idx="139">
                  <c:v>768.31507999557459</c:v>
                </c:pt>
                <c:pt idx="140">
                  <c:v>755.48635430575223</c:v>
                </c:pt>
                <c:pt idx="141">
                  <c:v>742.94560799995827</c:v>
                </c:pt>
                <c:pt idx="142">
                  <c:v>730.68452356297144</c:v>
                </c:pt>
                <c:pt idx="143">
                  <c:v>718.6950780899449</c:v>
                </c:pt>
                <c:pt idx="144">
                  <c:v>706.96953092010142</c:v>
                </c:pt>
                <c:pt idx="145">
                  <c:v>695.50041186948067</c:v>
                </c:pt>
                <c:pt idx="146">
                  <c:v>684.28051003050621</c:v>
                </c:pt>
                <c:pt idx="147">
                  <c:v>673.30286310741576</c:v>
                </c:pt>
                <c:pt idx="148">
                  <c:v>662.56074725790245</c:v>
                </c:pt>
                <c:pt idx="149">
                  <c:v>652.04766741457627</c:v>
                </c:pt>
                <c:pt idx="150">
                  <c:v>641.75734806011405</c:v>
                </c:pt>
                <c:pt idx="151">
                  <c:v>631.68372443180613</c:v>
                </c:pt>
                <c:pt idx="152">
                  <c:v>621.8209341334923</c:v>
                </c:pt>
                <c:pt idx="153">
                  <c:v>612.16330913277739</c:v>
                </c:pt>
                <c:pt idx="154">
                  <c:v>602.70536812405862</c:v>
                </c:pt>
                <c:pt idx="155">
                  <c:v>593.44180923814929</c:v>
                </c:pt>
                <c:pt idx="156">
                  <c:v>584.36750308053831</c:v>
                </c:pt>
                <c:pt idx="157">
                  <c:v>575.47748608185293</c:v>
                </c:pt>
                <c:pt idx="158">
                  <c:v>566.76695414448739</c:v>
                </c:pt>
                <c:pt idx="159">
                  <c:v>558.23125657018682</c:v>
                </c:pt>
                <c:pt idx="160">
                  <c:v>549.86589025509602</c:v>
                </c:pt>
                <c:pt idx="161">
                  <c:v>541.66649413827918</c:v>
                </c:pt>
                <c:pt idx="162">
                  <c:v>533.62884389162105</c:v>
                </c:pt>
                <c:pt idx="163">
                  <c:v>525.74884683913524</c:v>
                </c:pt>
                <c:pt idx="164">
                  <c:v>518.02253709412435</c:v>
                </c:pt>
                <c:pt idx="165">
                  <c:v>510.44607090406134</c:v>
                </c:pt>
                <c:pt idx="166">
                  <c:v>503.01572219294337</c:v>
                </c:pt>
                <c:pt idx="167">
                  <c:v>495.7278782913786</c:v>
                </c:pt>
                <c:pt idx="168">
                  <c:v>488.5790358459746</c:v>
                </c:pt>
                <c:pt idx="169">
                  <c:v>481.56579689892402</c:v>
                </c:pt>
                <c:pt idx="170">
                  <c:v>474.68486513019172</c:v>
                </c:pt>
                <c:pt idx="171">
                  <c:v>467.93304225450169</c:v>
                </c:pt>
                <c:pt idx="172">
                  <c:v>461.3072245657375</c:v>
                </c:pt>
                <c:pt idx="173">
                  <c:v>454.80439962221749</c:v>
                </c:pt>
                <c:pt idx="174">
                  <c:v>448.42164306619765</c:v>
                </c:pt>
                <c:pt idx="175">
                  <c:v>442.15611557124805</c:v>
                </c:pt>
                <c:pt idx="176">
                  <c:v>436.00505991212719</c:v>
                </c:pt>
                <c:pt idx="177">
                  <c:v>429.96579815104423</c:v>
                </c:pt>
                <c:pt idx="178">
                  <c:v>424.03572893550228</c:v>
                </c:pt>
                <c:pt idx="179">
                  <c:v>418.21232490255693</c:v>
                </c:pt>
                <c:pt idx="180">
                  <c:v>412.49313018455229</c:v>
                </c:pt>
                <c:pt idx="181">
                  <c:v>406.87575801216553</c:v>
                </c:pt>
                <c:pt idx="182">
                  <c:v>401.35788841027664</c:v>
                </c:pt>
                <c:pt idx="183">
                  <c:v>395.93726598249242</c:v>
                </c:pt>
                <c:pt idx="184">
                  <c:v>390.61169778073526</c:v>
                </c:pt>
                <c:pt idx="185">
                  <c:v>385.37905125587332</c:v>
                </c:pt>
                <c:pt idx="186">
                  <c:v>380.23725228616473</c:v>
                </c:pt>
                <c:pt idx="187">
                  <c:v>375.18428328004467</c:v>
                </c:pt>
                <c:pt idx="188">
                  <c:v>370.21818134998625</c:v>
                </c:pt>
                <c:pt idx="189">
                  <c:v>365.33703655463216</c:v>
                </c:pt>
                <c:pt idx="190">
                  <c:v>360.5389902061728</c:v>
                </c:pt>
                <c:pt idx="191">
                  <c:v>355.82223324013069</c:v>
                </c:pt>
                <c:pt idx="192">
                  <c:v>351.18500464522009</c:v>
                </c:pt>
                <c:pt idx="193">
                  <c:v>346.62558995043696</c:v>
                </c:pt>
                <c:pt idx="194">
                  <c:v>342.14231976727871</c:v>
                </c:pt>
                <c:pt idx="195">
                  <c:v>337.73356838473546</c:v>
                </c:pt>
                <c:pt idx="196">
                  <c:v>333.39775241475297</c:v>
                </c:pt>
                <c:pt idx="197">
                  <c:v>329.13332948632313</c:v>
                </c:pt>
                <c:pt idx="198">
                  <c:v>324.93879698613711</c:v>
                </c:pt>
                <c:pt idx="199">
                  <c:v>320.81269084378437</c:v>
                </c:pt>
                <c:pt idx="200">
                  <c:v>316.75358436000238</c:v>
                </c:pt>
                <c:pt idx="201">
                  <c:v>312.76008707590938</c:v>
                </c:pt>
                <c:pt idx="202">
                  <c:v>308.83084368187912</c:v>
                </c:pt>
                <c:pt idx="203">
                  <c:v>304.96453296434339</c:v>
                </c:pt>
                <c:pt idx="204">
                  <c:v>301.15986678898309</c:v>
                </c:pt>
                <c:pt idx="205">
                  <c:v>297.41558911901205</c:v>
                </c:pt>
                <c:pt idx="206">
                  <c:v>293.73047506713249</c:v>
                </c:pt>
                <c:pt idx="207">
                  <c:v>290.10332997972915</c:v>
                </c:pt>
                <c:pt idx="208">
                  <c:v>286.53298855230884</c:v>
                </c:pt>
                <c:pt idx="209">
                  <c:v>283.0183139746926</c:v>
                </c:pt>
                <c:pt idx="210">
                  <c:v>279.55819710505608</c:v>
                </c:pt>
                <c:pt idx="211">
                  <c:v>276.15155567162242</c:v>
                </c:pt>
                <c:pt idx="212">
                  <c:v>272.79733350087736</c:v>
                </c:pt>
                <c:pt idx="213">
                  <c:v>269.4944997714673</c:v>
                </c:pt>
                <c:pt idx="214">
                  <c:v>266.24204829273077</c:v>
                </c:pt>
                <c:pt idx="215">
                  <c:v>263.03899680685635</c:v>
                </c:pt>
                <c:pt idx="216">
                  <c:v>259.88438631399754</c:v>
                </c:pt>
                <c:pt idx="217">
                  <c:v>256.77728041924769</c:v>
                </c:pt>
                <c:pt idx="218">
                  <c:v>253.71676470086004</c:v>
                </c:pt>
                <c:pt idx="219">
                  <c:v>250.70194609887167</c:v>
                </c:pt>
                <c:pt idx="220">
                  <c:v>247.73195232328246</c:v>
                </c:pt>
                <c:pt idx="221">
                  <c:v>244.80593128125179</c:v>
                </c:pt>
                <c:pt idx="222">
                  <c:v>241.92305052252561</c:v>
                </c:pt>
                <c:pt idx="223">
                  <c:v>239.08249670237632</c:v>
                </c:pt>
                <c:pt idx="224">
                  <c:v>236.28347506160335</c:v>
                </c:pt>
                <c:pt idx="225">
                  <c:v>233.52520892276533</c:v>
                </c:pt>
                <c:pt idx="226">
                  <c:v>230.80693920225315</c:v>
                </c:pt>
                <c:pt idx="227">
                  <c:v>228.12792393755498</c:v>
                </c:pt>
                <c:pt idx="228">
                  <c:v>225.48743782912914</c:v>
                </c:pt>
                <c:pt idx="229">
                  <c:v>222.88477179648604</c:v>
                </c:pt>
                <c:pt idx="230">
                  <c:v>220.3192325479219</c:v>
                </c:pt>
                <c:pt idx="231">
                  <c:v>217.79014216336287</c:v>
                </c:pt>
                <c:pt idx="232">
                  <c:v>215.29683769002443</c:v>
                </c:pt>
                <c:pt idx="233">
                  <c:v>212.83867075025611</c:v>
                </c:pt>
                <c:pt idx="234">
                  <c:v>210.41500716130145</c:v>
                </c:pt>
                <c:pt idx="235">
                  <c:v>208.02522656650902</c:v>
                </c:pt>
                <c:pt idx="236">
                  <c:v>205.66872207754571</c:v>
                </c:pt>
                <c:pt idx="237">
                  <c:v>203.34489992734566</c:v>
                </c:pt>
                <c:pt idx="238">
                  <c:v>201.05317913338041</c:v>
                </c:pt>
                <c:pt idx="239">
                  <c:v>198.79299117083644</c:v>
                </c:pt>
                <c:pt idx="240">
                  <c:v>196.56377965552673</c:v>
                </c:pt>
                <c:pt idx="241">
                  <c:v>194.36500003601827</c:v>
                </c:pt>
                <c:pt idx="242">
                  <c:v>192.1961192948315</c:v>
                </c:pt>
                <c:pt idx="243">
                  <c:v>190.05661565833341</c:v>
                </c:pt>
                <c:pt idx="244">
                  <c:v>187.94597831500724</c:v>
                </c:pt>
                <c:pt idx="245">
                  <c:v>185.86370714190861</c:v>
                </c:pt>
                <c:pt idx="246">
                  <c:v>183.8093124389886</c:v>
                </c:pt>
                <c:pt idx="247">
                  <c:v>181.78231467099152</c:v>
                </c:pt>
                <c:pt idx="248">
                  <c:v>179.78224421678706</c:v>
                </c:pt>
                <c:pt idx="249">
                  <c:v>177.80864112576347</c:v>
                </c:pt>
                <c:pt idx="250">
                  <c:v>175.86105488116658</c:v>
                </c:pt>
                <c:pt idx="251">
                  <c:v>173.93904417011618</c:v>
                </c:pt>
                <c:pt idx="252">
                  <c:v>172.04217666004473</c:v>
                </c:pt>
                <c:pt idx="253">
                  <c:v>170.17002878143367</c:v>
                </c:pt>
                <c:pt idx="254">
                  <c:v>168.32218551661043</c:v>
                </c:pt>
                <c:pt idx="255">
                  <c:v>166.49824019436525</c:v>
                </c:pt>
                <c:pt idx="256">
                  <c:v>164.6977942903174</c:v>
                </c:pt>
                <c:pt idx="257">
                  <c:v>162.9204572327198</c:v>
                </c:pt>
                <c:pt idx="258">
                  <c:v>161.16584621363546</c:v>
                </c:pt>
                <c:pt idx="259">
                  <c:v>159.43358600528381</c:v>
                </c:pt>
                <c:pt idx="260">
                  <c:v>157.72330878134676</c:v>
                </c:pt>
                <c:pt idx="261">
                  <c:v>156.03465394316837</c:v>
                </c:pt>
                <c:pt idx="262">
                  <c:v>154.36726795065198</c:v>
                </c:pt>
                <c:pt idx="263">
                  <c:v>152.72080415767056</c:v>
                </c:pt>
                <c:pt idx="264">
                  <c:v>151.09492265195877</c:v>
                </c:pt>
                <c:pt idx="265">
                  <c:v>149.48929009922242</c:v>
                </c:pt>
                <c:pt idx="266">
                  <c:v>147.90357959144274</c:v>
                </c:pt>
                <c:pt idx="267">
                  <c:v>146.33747049920441</c:v>
                </c:pt>
                <c:pt idx="268">
                  <c:v>144.79064832789453</c:v>
                </c:pt>
                <c:pt idx="269">
                  <c:v>143.26280457772407</c:v>
                </c:pt>
                <c:pt idx="270">
                  <c:v>141.7536366074236</c:v>
                </c:pt>
                <c:pt idx="271">
                  <c:v>140.2628475014634</c:v>
                </c:pt>
                <c:pt idx="272">
                  <c:v>138.79014594079314</c:v>
                </c:pt>
                <c:pt idx="273">
                  <c:v>137.33524607687656</c:v>
                </c:pt>
                <c:pt idx="274">
                  <c:v>135.89786740902511</c:v>
                </c:pt>
                <c:pt idx="275">
                  <c:v>134.47773466488897</c:v>
                </c:pt>
                <c:pt idx="276">
                  <c:v>133.07457768398848</c:v>
                </c:pt>
                <c:pt idx="277">
                  <c:v>131.68813130425306</c:v>
                </c:pt>
                <c:pt idx="278">
                  <c:v>130.31813525145532</c:v>
                </c:pt>
                <c:pt idx="279">
                  <c:v>128.96433403141782</c:v>
                </c:pt>
                <c:pt idx="280">
                  <c:v>127.62647682499926</c:v>
                </c:pt>
                <c:pt idx="281">
                  <c:v>126.30431738567965</c:v>
                </c:pt>
                <c:pt idx="282">
                  <c:v>124.99761393975069</c:v>
                </c:pt>
                <c:pt idx="283">
                  <c:v>123.7061290890051</c:v>
                </c:pt>
                <c:pt idx="284">
                  <c:v>122.42962971582801</c:v>
                </c:pt>
                <c:pt idx="285">
                  <c:v>121.16788689067667</c:v>
                </c:pt>
                <c:pt idx="286">
                  <c:v>119.92067578183735</c:v>
                </c:pt>
                <c:pt idx="287">
                  <c:v>118.68777556741439</c:v>
                </c:pt>
                <c:pt idx="288">
                  <c:v>117.46896934948246</c:v>
                </c:pt>
                <c:pt idx="289">
                  <c:v>116.2640440703448</c:v>
                </c:pt>
                <c:pt idx="290">
                  <c:v>115.07279043083767</c:v>
                </c:pt>
                <c:pt idx="291">
                  <c:v>113.89500281062094</c:v>
                </c:pt>
                <c:pt idx="292">
                  <c:v>112.73047919040603</c:v>
                </c:pt>
                <c:pt idx="293">
                  <c:v>111.57902107605912</c:v>
                </c:pt>
                <c:pt idx="294">
                  <c:v>110.44043342453784</c:v>
                </c:pt>
                <c:pt idx="295">
                  <c:v>109.31452457160191</c:v>
                </c:pt>
                <c:pt idx="296">
                  <c:v>108.20110616125497</c:v>
                </c:pt>
                <c:pt idx="297">
                  <c:v>107.09999307686712</c:v>
                </c:pt>
                <c:pt idx="298">
                  <c:v>106.01100337393588</c:v>
                </c:pt>
                <c:pt idx="299">
                  <c:v>104.93395821443687</c:v>
                </c:pt>
                <c:pt idx="300">
                  <c:v>103.86868180272461</c:v>
                </c:pt>
                <c:pt idx="301">
                  <c:v>102.81500132293841</c:v>
                </c:pt>
                <c:pt idx="302">
                  <c:v>101.77274687787816</c:v>
                </c:pt>
                <c:pt idx="303">
                  <c:v>100.74175142930375</c:v>
                </c:pt>
                <c:pt idx="304">
                  <c:v>99.721850739625879</c:v>
                </c:pt>
                <c:pt idx="305">
                  <c:v>98.712883314947391</c:v>
                </c:pt>
                <c:pt idx="306">
                  <c:v>97.714690349421645</c:v>
                </c:pt>
                <c:pt idx="307">
                  <c:v>96.727115670892545</c:v>
                </c:pt>
                <c:pt idx="308">
                  <c:v>95.750005687779748</c:v>
                </c:pt>
                <c:pt idx="309">
                  <c:v>94.783209337181603</c:v>
                </c:pt>
                <c:pt idx="310">
                  <c:v>93.826578034158359</c:v>
                </c:pt>
                <c:pt idx="311">
                  <c:v>92.879965622167902</c:v>
                </c:pt>
                <c:pt idx="312">
                  <c:v>91.943228324622652</c:v>
                </c:pt>
                <c:pt idx="313">
                  <c:v>91.01622469754021</c:v>
                </c:pt>
                <c:pt idx="314">
                  <c:v>90.098815583256936</c:v>
                </c:pt>
                <c:pt idx="315">
                  <c:v>89.190864065177934</c:v>
                </c:pt>
                <c:pt idx="316">
                  <c:v>88.292235423536852</c:v>
                </c:pt>
                <c:pt idx="317">
                  <c:v>87.402797092140929</c:v>
                </c:pt>
                <c:pt idx="318">
                  <c:v>86.522418616072514</c:v>
                </c:pt>
                <c:pt idx="319">
                  <c:v>85.650971610325314</c:v>
                </c:pt>
                <c:pt idx="320">
                  <c:v>84.788329719350699</c:v>
                </c:pt>
                <c:pt idx="321">
                  <c:v>83.934368577491554</c:v>
                </c:pt>
                <c:pt idx="322">
                  <c:v>83.088965770279344</c:v>
                </c:pt>
                <c:pt idx="323">
                  <c:v>82.252000796574237</c:v>
                </c:pt>
                <c:pt idx="324">
                  <c:v>81.423355031525588</c:v>
                </c:pt>
                <c:pt idx="325">
                  <c:v>80.602911690334594</c:v>
                </c:pt>
                <c:pt idx="326">
                  <c:v>79.790555792795246</c:v>
                </c:pt>
                <c:pt idx="327">
                  <c:v>78.986174128596687</c:v>
                </c:pt>
                <c:pt idx="328">
                  <c:v>78.189655223367026</c:v>
                </c:pt>
                <c:pt idx="329">
                  <c:v>77.400889305440955</c:v>
                </c:pt>
                <c:pt idx="330">
                  <c:v>76.619768273330905</c:v>
                </c:pt>
                <c:pt idx="331">
                  <c:v>75.846185663887283</c:v>
                </c:pt>
                <c:pt idx="332">
                  <c:v>75.080036621126965</c:v>
                </c:pt>
                <c:pt idx="333">
                  <c:v>74.321217865718168</c:v>
                </c:pt>
                <c:pt idx="334">
                  <c:v>73.569627665100768</c:v>
                </c:pt>
                <c:pt idx="335">
                  <c:v>72.825165804229385</c:v>
                </c:pt>
                <c:pt idx="336">
                  <c:v>72.087733556922046</c:v>
                </c:pt>
                <c:pt idx="337">
                  <c:v>71.357233657802567</c:v>
                </c:pt>
                <c:pt idx="338">
                  <c:v>70.633570274817117</c:v>
                </c:pt>
                <c:pt idx="339">
                  <c:v>69.916648982315962</c:v>
                </c:pt>
                <c:pt idx="340">
                  <c:v>69.206376734682266</c:v>
                </c:pt>
                <c:pt idx="341">
                  <c:v>68.502661840498959</c:v>
                </c:pt>
                <c:pt idx="342">
                  <c:v>67.80541393723604</c:v>
                </c:pt>
                <c:pt idx="343">
                  <c:v>67.114543966448949</c:v>
                </c:pt>
                <c:pt idx="344">
                  <c:v>66.429964149473392</c:v>
                </c:pt>
                <c:pt idx="345">
                  <c:v>65.751587963606823</c:v>
                </c:pt>
                <c:pt idx="346">
                  <c:v>65.079330118762371</c:v>
                </c:pt>
                <c:pt idx="347">
                  <c:v>64.413106534585069</c:v>
                </c:pt>
                <c:pt idx="348">
                  <c:v>63.752834318018678</c:v>
                </c:pt>
                <c:pt idx="349">
                  <c:v>63.098431741313412</c:v>
                </c:pt>
                <c:pt idx="350">
                  <c:v>62.449818220461488</c:v>
                </c:pt>
                <c:pt idx="351">
                  <c:v>61.806914294052945</c:v>
                </c:pt>
                <c:pt idx="352">
                  <c:v>61.169641602538256</c:v>
                </c:pt>
                <c:pt idx="353">
                  <c:v>60.53792286789232</c:v>
                </c:pt>
                <c:pt idx="354">
                  <c:v>59.911681873665373</c:v>
                </c:pt>
                <c:pt idx="355">
                  <c:v>59.290843445415149</c:v>
                </c:pt>
                <c:pt idx="356">
                  <c:v>58.675333431508029</c:v>
                </c:pt>
                <c:pt idx="357">
                  <c:v>58.065078684283989</c:v>
                </c:pt>
                <c:pt idx="358">
                  <c:v>57.460007041572524</c:v>
                </c:pt>
                <c:pt idx="359">
                  <c:v>56.860047308553661</c:v>
                </c:pt>
                <c:pt idx="360">
                  <c:v>56.265129239954476</c:v>
                </c:pt>
                <c:pt idx="361">
                  <c:v>55.675183522574372</c:v>
                </c:pt>
                <c:pt idx="362">
                  <c:v>55.090141758129178</c:v>
                </c:pt>
                <c:pt idx="363">
                  <c:v>54.509936446407302</c:v>
                </c:pt>
                <c:pt idx="364">
                  <c:v>53.934500968731356</c:v>
                </c:pt>
                <c:pt idx="365">
                  <c:v>53.363769571715643</c:v>
                </c:pt>
                <c:pt idx="366">
                  <c:v>52.797677351313943</c:v>
                </c:pt>
                <c:pt idx="367">
                  <c:v>52.236160237149839</c:v>
                </c:pt>
                <c:pt idx="368">
                  <c:v>51.67915497712243</c:v>
                </c:pt>
                <c:pt idx="369">
                  <c:v>51.12659912228159</c:v>
                </c:pt>
                <c:pt idx="370">
                  <c:v>50.578431011964803</c:v>
                </c:pt>
                <c:pt idx="371">
                  <c:v>50.034589759189622</c:v>
                </c:pt>
                <c:pt idx="372">
                  <c:v>49.495015236296354</c:v>
                </c:pt>
                <c:pt idx="373">
                  <c:v>48.959648060832762</c:v>
                </c:pt>
                <c:pt idx="374">
                  <c:v>48.428429581676447</c:v>
                </c:pt>
                <c:pt idx="375">
                  <c:v>47.901301865388014</c:v>
                </c:pt>
                <c:pt idx="376">
                  <c:v>47.37820768278889</c:v>
                </c:pt>
                <c:pt idx="377">
                  <c:v>46.859090495759659</c:v>
                </c:pt>
                <c:pt idx="378">
                  <c:v>46.343894444251134</c:v>
                </c:pt>
                <c:pt idx="379">
                  <c:v>45.832564333503477</c:v>
                </c:pt>
                <c:pt idx="380">
                  <c:v>45.325045621469272</c:v>
                </c:pt>
                <c:pt idx="381">
                  <c:v>44.821284406433001</c:v>
                </c:pt>
                <c:pt idx="382">
                  <c:v>44.321227414823085</c:v>
                </c:pt>
                <c:pt idx="383">
                  <c:v>43.824821989211102</c:v>
                </c:pt>
                <c:pt idx="384">
                  <c:v>43.332016076492636</c:v>
                </c:pt>
                <c:pt idx="385">
                  <c:v>42.842758216246253</c:v>
                </c:pt>
                <c:pt idx="386">
                  <c:v>42.35699752926363</c:v>
                </c:pt>
                <c:pt idx="387">
                  <c:v>41.874683706247581</c:v>
                </c:pt>
                <c:pt idx="388">
                  <c:v>41.395766996672755</c:v>
                </c:pt>
                <c:pt idx="389">
                  <c:v>40.920198197804858</c:v>
                </c:pt>
                <c:pt idx="390">
                  <c:v>40.447928643872828</c:v>
                </c:pt>
                <c:pt idx="391">
                  <c:v>39.978910195390206</c:v>
                </c:pt>
                <c:pt idx="392">
                  <c:v>39.513095228621324</c:v>
                </c:pt>
                <c:pt idx="393">
                  <c:v>39.050436625187793</c:v>
                </c:pt>
                <c:pt idx="394">
                  <c:v>38.590887761810713</c:v>
                </c:pt>
                <c:pt idx="395">
                  <c:v>38.134402500184635</c:v>
                </c:pt>
                <c:pt idx="396">
                  <c:v>37.680935176978878</c:v>
                </c:pt>
                <c:pt idx="397">
                  <c:v>37.230440593962911</c:v>
                </c:pt>
                <c:pt idx="398">
                  <c:v>36.782874008249827</c:v>
                </c:pt>
                <c:pt idx="399">
                  <c:v>36.338191122656298</c:v>
                </c:pt>
                <c:pt idx="400">
                  <c:v>35.896348076172174</c:v>
                </c:pt>
                <c:pt idx="401">
                  <c:v>35.457301434539204</c:v>
                </c:pt>
                <c:pt idx="402">
                  <c:v>35.021008180931275</c:v>
                </c:pt>
                <c:pt idx="403">
                  <c:v>34.587425706735203</c:v>
                </c:pt>
                <c:pt idx="404">
                  <c:v>34.156511802426074</c:v>
                </c:pt>
                <c:pt idx="405">
                  <c:v>33.728224648535374</c:v>
                </c:pt>
                <c:pt idx="406">
                  <c:v>33.302522806705923</c:v>
                </c:pt>
                <c:pt idx="407">
                  <c:v>32.879365210831587</c:v>
                </c:pt>
                <c:pt idx="408">
                  <c:v>32.458711158276401</c:v>
                </c:pt>
                <c:pt idx="409">
                  <c:v>32.040520301171362</c:v>
                </c:pt>
                <c:pt idx="410">
                  <c:v>31.624752637783178</c:v>
                </c:pt>
                <c:pt idx="411">
                  <c:v>31.211368503952038</c:v>
                </c:pt>
                <c:pt idx="412">
                  <c:v>30.800328564594924</c:v>
                </c:pt>
                <c:pt idx="413">
                  <c:v>30.391593805270823</c:v>
                </c:pt>
                <c:pt idx="414">
                  <c:v>29.985125523802974</c:v>
                </c:pt>
                <c:pt idx="415">
                  <c:v>29.58088532195622</c:v>
                </c:pt>
                <c:pt idx="416">
                  <c:v>29.178835097163603</c:v>
                </c:pt>
                <c:pt idx="417">
                  <c:v>28.778937034301119</c:v>
                </c:pt>
                <c:pt idx="418">
                  <c:v>28.381153597504273</c:v>
                </c:pt>
                <c:pt idx="419">
                  <c:v>27.98544752202395</c:v>
                </c:pt>
                <c:pt idx="420">
                  <c:v>27.591781806118501</c:v>
                </c:pt>
                <c:pt idx="421">
                  <c:v>27.200119702976522</c:v>
                </c:pt>
                <c:pt idx="422">
                  <c:v>26.810424712668183</c:v>
                </c:pt>
                <c:pt idx="423">
                  <c:v>26.422660574119693</c:v>
                </c:pt>
                <c:pt idx="424">
                  <c:v>26.036791257109002</c:v>
                </c:pt>
                <c:pt idx="425">
                  <c:v>25.652780954276761</c:v>
                </c:pt>
                <c:pt idx="426">
                  <c:v>25.270594073150015</c:v>
                </c:pt>
                <c:pt idx="427">
                  <c:v>24.890195228173756</c:v>
                </c:pt>
                <c:pt idx="428">
                  <c:v>24.511549232747385</c:v>
                </c:pt>
                <c:pt idx="429">
                  <c:v>24.134621091260765</c:v>
                </c:pt>
                <c:pt idx="430">
                  <c:v>23.759375991126554</c:v>
                </c:pt>
                <c:pt idx="431">
                  <c:v>23.385779294803971</c:v>
                </c:pt>
                <c:pt idx="432">
                  <c:v>23.013796531810979</c:v>
                </c:pt>
                <c:pt idx="433">
                  <c:v>22.643393390718835</c:v>
                </c:pt>
                <c:pt idx="434">
                  <c:v>22.274535711126166</c:v>
                </c:pt>
                <c:pt idx="435">
                  <c:v>21.907189475606465</c:v>
                </c:pt>
                <c:pt idx="436">
                  <c:v>21.541320801626895</c:v>
                </c:pt>
                <c:pt idx="437">
                  <c:v>21.176895933430863</c:v>
                </c:pt>
                <c:pt idx="438">
                  <c:v>20.813881233881744</c:v>
                </c:pt>
                <c:pt idx="439">
                  <c:v>20.452243176261845</c:v>
                </c:pt>
                <c:pt idx="440">
                  <c:v>20.091948336022515</c:v>
                </c:pt>
                <c:pt idx="441">
                  <c:v>19.732963382479259</c:v>
                </c:pt>
                <c:pt idx="442">
                  <c:v>19.375255070447725</c:v>
                </c:pt>
                <c:pt idx="443">
                  <c:v>19.018790231814176</c:v>
                </c:pt>
                <c:pt idx="444">
                  <c:v>18.663535767036691</c:v>
                </c:pt>
                <c:pt idx="445">
                  <c:v>18.309458636569399</c:v>
                </c:pt>
                <c:pt idx="446">
                  <c:v>17.956525852205754</c:v>
                </c:pt>
                <c:pt idx="447">
                  <c:v>17.604704468333836</c:v>
                </c:pt>
                <c:pt idx="448">
                  <c:v>17.253961573098824</c:v>
                </c:pt>
                <c:pt idx="449">
                  <c:v>16.904264279465096</c:v>
                </c:pt>
                <c:pt idx="450">
                  <c:v>16.555579716172559</c:v>
                </c:pt>
                <c:pt idx="451">
                  <c:v>16.207875018579841</c:v>
                </c:pt>
                <c:pt idx="452">
                  <c:v>15.861117319388834</c:v>
                </c:pt>
                <c:pt idx="453">
                  <c:v>15.515273739241895</c:v>
                </c:pt>
                <c:pt idx="454">
                  <c:v>15.1703113771859</c:v>
                </c:pt>
                <c:pt idx="455">
                  <c:v>14.826197300994744</c:v>
                </c:pt>
                <c:pt idx="456">
                  <c:v>14.482898537343559</c:v>
                </c:pt>
                <c:pt idx="457">
                  <c:v>14.140382061825726</c:v>
                </c:pt>
                <c:pt idx="458">
                  <c:v>13.798614788805065</c:v>
                </c:pt>
                <c:pt idx="459">
                  <c:v>13.457563561094235</c:v>
                </c:pt>
                <c:pt idx="460">
                  <c:v>13.11719513945155</c:v>
                </c:pt>
                <c:pt idx="461">
                  <c:v>12.777476191885555</c:v>
                </c:pt>
                <c:pt idx="462">
                  <c:v>12.438373282759265</c:v>
                </c:pt>
                <c:pt idx="463">
                  <c:v>12.099852861683329</c:v>
                </c:pt>
                <c:pt idx="464">
                  <c:v>11.761881252189001</c:v>
                </c:pt>
                <c:pt idx="465">
                  <c:v>11.42442464016905</c:v>
                </c:pt>
                <c:pt idx="466">
                  <c:v>11.087449062076912</c:v>
                </c:pt>
                <c:pt idx="467">
                  <c:v>10.750920392871599</c:v>
                </c:pt>
                <c:pt idx="468">
                  <c:v>10.414804333697903</c:v>
                </c:pt>
                <c:pt idx="469">
                  <c:v>10.079066399288134</c:v>
                </c:pt>
                <c:pt idx="470">
                  <c:v>9.743671905073759</c:v>
                </c:pt>
                <c:pt idx="471">
                  <c:v>9.4085859539927537</c:v>
                </c:pt>
                <c:pt idx="472">
                  <c:v>9.0737734229800751</c:v>
                </c:pt>
                <c:pt idx="473">
                  <c:v>8.7391989491254307</c:v>
                </c:pt>
                <c:pt idx="474">
                  <c:v>8.4048269154840209</c:v>
                </c:pt>
                <c:pt idx="475">
                  <c:v>8.0706214365252507</c:v>
                </c:pt>
                <c:pt idx="476">
                  <c:v>7.7365463432016943</c:v>
                </c:pt>
                <c:pt idx="477">
                  <c:v>7.4025651676227016</c:v>
                </c:pt>
                <c:pt idx="478">
                  <c:v>7.0686411273136622</c:v>
                </c:pt>
                <c:pt idx="479">
                  <c:v>6.7347371090439943</c:v>
                </c:pt>
                <c:pt idx="480">
                  <c:v>6.4008156522026978</c:v>
                </c:pt>
                <c:pt idx="481">
                  <c:v>6.0668389317027618</c:v>
                </c:pt>
                <c:pt idx="482">
                  <c:v>5.7327687403925971</c:v>
                </c:pt>
                <c:pt idx="483">
                  <c:v>5.3985664709527015</c:v>
                </c:pt>
                <c:pt idx="484">
                  <c:v>5.0641930972544431</c:v>
                </c:pt>
                <c:pt idx="485">
                  <c:v>4.7296091551568296</c:v>
                </c:pt>
                <c:pt idx="486">
                  <c:v>4.3947747227161491</c:v>
                </c:pt>
                <c:pt idx="487">
                  <c:v>4.0596493997820327</c:v>
                </c:pt>
                <c:pt idx="488">
                  <c:v>3.7241922869522002</c:v>
                </c:pt>
                <c:pt idx="489">
                  <c:v>3.3883619638570628</c:v>
                </c:pt>
                <c:pt idx="490">
                  <c:v>3.0521164667438776</c:v>
                </c:pt>
                <c:pt idx="491">
                  <c:v>2.7154132653283622</c:v>
                </c:pt>
                <c:pt idx="492">
                  <c:v>2.3782092388809115</c:v>
                </c:pt>
                <c:pt idx="493">
                  <c:v>2.0404606515119217</c:v>
                </c:pt>
                <c:pt idx="494">
                  <c:v>1.7021231266198638</c:v>
                </c:pt>
                <c:pt idx="495">
                  <c:v>1.3631516204634913</c:v>
                </c:pt>
                <c:pt idx="496">
                  <c:v>1.023500394817682</c:v>
                </c:pt>
                <c:pt idx="497">
                  <c:v>0.68312298867042098</c:v>
                </c:pt>
                <c:pt idx="498">
                  <c:v>0.34197218891637321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5-4CE4-87B2-37D189E61B0E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[1]Main!$B$12:$B$1011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[1]Main!$F$512:$F$1011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925-4CE4-87B2-37D189E6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46947156278589108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/>
                  <a:t>sin(a)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21</xdr:col>
      <xdr:colOff>687598</xdr:colOff>
      <xdr:row>29</xdr:row>
      <xdr:rowOff>153020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0787FF2-D274-4267-BC4B-D1D934680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1294</xdr:colOff>
      <xdr:row>30</xdr:row>
      <xdr:rowOff>72605</xdr:rowOff>
    </xdr:from>
    <xdr:to>
      <xdr:col>20</xdr:col>
      <xdr:colOff>320605</xdr:colOff>
      <xdr:row>48</xdr:row>
      <xdr:rowOff>166920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8347F11-AA07-4E82-BAAC-2FD66D4DD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523474</xdr:colOff>
      <xdr:row>30</xdr:row>
      <xdr:rowOff>69115</xdr:rowOff>
    </xdr:from>
    <xdr:to>
      <xdr:col>29</xdr:col>
      <xdr:colOff>866</xdr:colOff>
      <xdr:row>49</xdr:row>
      <xdr:rowOff>80522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9AC9531-0D6E-4C75-8599-7F44E0EC3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112797</xdr:colOff>
      <xdr:row>0</xdr:row>
      <xdr:rowOff>12533</xdr:rowOff>
    </xdr:from>
    <xdr:to>
      <xdr:col>39</xdr:col>
      <xdr:colOff>79677</xdr:colOff>
      <xdr:row>27</xdr:row>
      <xdr:rowOff>133074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28CECDE-AE3D-42B4-898C-FE3929CB7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92073" y="12533"/>
          <a:ext cx="11722736" cy="6549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mir\OneDrive\&#12489;&#12461;&#12517;&#12513;&#12531;&#12488;\Munako-Amateras\Common\&#29420;&#33258;&#12511;&#12521;&#12540;\&#20837;&#23556;&#20809;&#12392;&#21453;&#23556;&#20809;&#12391;&#35336;&#31639;\a&#12434;&#32048;&#12363;&#12367;&#20998;&#21106;\&#29420;&#33258;&#12511;&#12521;&#12540;_a%20v2.xlsx" TargetMode="External"/><Relationship Id="rId1" Type="http://schemas.openxmlformats.org/officeDocument/2006/relationships/externalLinkPath" Target="/Users/kamir/OneDrive/&#12489;&#12461;&#12517;&#12513;&#12531;&#12488;/Munako-Amateras/Common/&#29420;&#33258;&#12511;&#12521;&#12540;/&#20837;&#23556;&#20809;&#12392;&#21453;&#23556;&#20809;&#12391;&#35336;&#31639;/a&#12434;&#32048;&#12363;&#12367;&#20998;&#21106;/&#29420;&#33258;&#12511;&#12521;&#12540;_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12">
          <cell r="B12">
            <v>28</v>
          </cell>
        </row>
        <row r="13">
          <cell r="B13">
            <v>27.943887775551101</v>
          </cell>
        </row>
        <row r="14">
          <cell r="B14">
            <v>27.887775551102205</v>
          </cell>
        </row>
        <row r="15">
          <cell r="B15">
            <v>27.831663326653306</v>
          </cell>
        </row>
        <row r="16">
          <cell r="B16">
            <v>27.77555110220441</v>
          </cell>
        </row>
        <row r="17">
          <cell r="B17">
            <v>27.719438877755511</v>
          </cell>
        </row>
        <row r="18">
          <cell r="B18">
            <v>27.663326653306612</v>
          </cell>
        </row>
        <row r="19">
          <cell r="B19">
            <v>27.607214428857716</v>
          </cell>
        </row>
        <row r="20">
          <cell r="B20">
            <v>27.551102204408817</v>
          </cell>
        </row>
        <row r="21">
          <cell r="B21">
            <v>27.494989979959918</v>
          </cell>
        </row>
        <row r="22">
          <cell r="B22">
            <v>27.438877755511022</v>
          </cell>
        </row>
        <row r="23">
          <cell r="B23">
            <v>27.382765531062123</v>
          </cell>
        </row>
        <row r="24">
          <cell r="B24">
            <v>27.326653306613228</v>
          </cell>
        </row>
        <row r="25">
          <cell r="B25">
            <v>27.270541082164328</v>
          </cell>
        </row>
        <row r="26">
          <cell r="B26">
            <v>27.214428857715429</v>
          </cell>
        </row>
        <row r="27">
          <cell r="B27">
            <v>27.158316633266534</v>
          </cell>
        </row>
        <row r="28">
          <cell r="B28">
            <v>27.102204408817634</v>
          </cell>
        </row>
        <row r="29">
          <cell r="B29">
            <v>27.046092184368739</v>
          </cell>
        </row>
        <row r="30">
          <cell r="B30">
            <v>26.98997995991984</v>
          </cell>
        </row>
        <row r="31">
          <cell r="B31">
            <v>26.93386773547094</v>
          </cell>
        </row>
        <row r="32">
          <cell r="B32">
            <v>26.877755511022045</v>
          </cell>
        </row>
        <row r="33">
          <cell r="B33">
            <v>26.821643286573146</v>
          </cell>
        </row>
        <row r="34">
          <cell r="B34">
            <v>26.76553106212425</v>
          </cell>
        </row>
        <row r="35">
          <cell r="B35">
            <v>26.709418837675351</v>
          </cell>
        </row>
        <row r="36">
          <cell r="B36">
            <v>26.653306613226452</v>
          </cell>
        </row>
        <row r="37">
          <cell r="B37">
            <v>26.597194388777556</v>
          </cell>
        </row>
        <row r="38">
          <cell r="B38">
            <v>26.541082164328657</v>
          </cell>
        </row>
        <row r="39">
          <cell r="B39">
            <v>26.484969939879761</v>
          </cell>
        </row>
        <row r="40">
          <cell r="B40">
            <v>26.428857715430862</v>
          </cell>
        </row>
        <row r="41">
          <cell r="B41">
            <v>26.372745490981963</v>
          </cell>
        </row>
        <row r="42">
          <cell r="B42">
            <v>26.316633266533067</v>
          </cell>
        </row>
        <row r="43">
          <cell r="B43">
            <v>26.260521042084168</v>
          </cell>
        </row>
        <row r="44">
          <cell r="B44">
            <v>26.204408817635269</v>
          </cell>
        </row>
        <row r="45">
          <cell r="B45">
            <v>26.148296593186373</v>
          </cell>
        </row>
        <row r="46">
          <cell r="B46">
            <v>26.092184368737474</v>
          </cell>
        </row>
        <row r="47">
          <cell r="B47">
            <v>26.036072144288578</v>
          </cell>
        </row>
        <row r="48">
          <cell r="B48">
            <v>25.979959919839679</v>
          </cell>
        </row>
        <row r="49">
          <cell r="B49">
            <v>25.923847695390783</v>
          </cell>
        </row>
        <row r="50">
          <cell r="B50">
            <v>25.867735470941884</v>
          </cell>
        </row>
        <row r="51">
          <cell r="B51">
            <v>25.811623246492985</v>
          </cell>
        </row>
        <row r="52">
          <cell r="B52">
            <v>25.755511022044089</v>
          </cell>
        </row>
        <row r="53">
          <cell r="B53">
            <v>25.69939879759519</v>
          </cell>
        </row>
        <row r="54">
          <cell r="B54">
            <v>25.643286573146291</v>
          </cell>
        </row>
        <row r="55">
          <cell r="B55">
            <v>25.587174348697395</v>
          </cell>
        </row>
        <row r="56">
          <cell r="B56">
            <v>25.531062124248496</v>
          </cell>
        </row>
        <row r="57">
          <cell r="B57">
            <v>25.474949899799601</v>
          </cell>
        </row>
        <row r="58">
          <cell r="B58">
            <v>25.418837675350701</v>
          </cell>
        </row>
        <row r="59">
          <cell r="B59">
            <v>25.362725450901802</v>
          </cell>
        </row>
        <row r="60">
          <cell r="B60">
            <v>25.306613226452907</v>
          </cell>
        </row>
        <row r="61">
          <cell r="B61">
            <v>25.250501002004007</v>
          </cell>
        </row>
        <row r="62">
          <cell r="B62">
            <v>25.194388777555112</v>
          </cell>
        </row>
        <row r="63">
          <cell r="B63">
            <v>25.138276553106213</v>
          </cell>
        </row>
        <row r="64">
          <cell r="B64">
            <v>25.082164328657313</v>
          </cell>
        </row>
        <row r="65">
          <cell r="B65">
            <v>25.026052104208418</v>
          </cell>
        </row>
        <row r="66">
          <cell r="B66">
            <v>24.969939879759519</v>
          </cell>
        </row>
        <row r="67">
          <cell r="B67">
            <v>24.913827655310619</v>
          </cell>
        </row>
        <row r="68">
          <cell r="B68">
            <v>24.857715430861724</v>
          </cell>
        </row>
        <row r="69">
          <cell r="B69">
            <v>24.801603206412825</v>
          </cell>
        </row>
        <row r="70">
          <cell r="B70">
            <v>24.745490981963929</v>
          </cell>
        </row>
        <row r="71">
          <cell r="B71">
            <v>24.68937875751503</v>
          </cell>
        </row>
        <row r="72">
          <cell r="B72">
            <v>24.633266533066134</v>
          </cell>
        </row>
        <row r="73">
          <cell r="B73">
            <v>24.577154308617235</v>
          </cell>
        </row>
        <row r="74">
          <cell r="B74">
            <v>24.521042084168336</v>
          </cell>
        </row>
        <row r="75">
          <cell r="B75">
            <v>24.46492985971944</v>
          </cell>
        </row>
        <row r="76">
          <cell r="B76">
            <v>24.408817635270541</v>
          </cell>
        </row>
        <row r="77">
          <cell r="B77">
            <v>24.352705410821642</v>
          </cell>
        </row>
        <row r="78">
          <cell r="B78">
            <v>24.296593186372746</v>
          </cell>
        </row>
        <row r="79">
          <cell r="B79">
            <v>24.240480961923847</v>
          </cell>
        </row>
        <row r="80">
          <cell r="B80">
            <v>24.184368737474948</v>
          </cell>
        </row>
        <row r="81">
          <cell r="B81">
            <v>24.128256513026052</v>
          </cell>
        </row>
        <row r="82">
          <cell r="B82">
            <v>24.072144288577153</v>
          </cell>
        </row>
        <row r="83">
          <cell r="B83">
            <v>24.016032064128257</v>
          </cell>
        </row>
        <row r="84">
          <cell r="B84">
            <v>23.959919839679358</v>
          </cell>
        </row>
        <row r="85">
          <cell r="B85">
            <v>23.903807615230463</v>
          </cell>
        </row>
        <row r="86">
          <cell r="B86">
            <v>23.847695390781563</v>
          </cell>
        </row>
        <row r="87">
          <cell r="B87">
            <v>23.791583166332664</v>
          </cell>
        </row>
        <row r="88">
          <cell r="B88">
            <v>23.735470941883769</v>
          </cell>
        </row>
        <row r="89">
          <cell r="B89">
            <v>23.679358717434869</v>
          </cell>
        </row>
        <row r="90">
          <cell r="B90">
            <v>23.62324649298597</v>
          </cell>
        </row>
        <row r="91">
          <cell r="B91">
            <v>23.567134268537075</v>
          </cell>
        </row>
        <row r="92">
          <cell r="B92">
            <v>23.511022044088175</v>
          </cell>
        </row>
        <row r="93">
          <cell r="B93">
            <v>23.45490981963928</v>
          </cell>
        </row>
        <row r="94">
          <cell r="B94">
            <v>23.398797595190381</v>
          </cell>
        </row>
        <row r="95">
          <cell r="B95">
            <v>23.342685370741485</v>
          </cell>
        </row>
        <row r="96">
          <cell r="B96">
            <v>23.286573146292586</v>
          </cell>
        </row>
        <row r="97">
          <cell r="B97">
            <v>23.230460921843687</v>
          </cell>
        </row>
        <row r="98">
          <cell r="B98">
            <v>23.174348697394791</v>
          </cell>
        </row>
        <row r="99">
          <cell r="B99">
            <v>23.118236472945892</v>
          </cell>
        </row>
        <row r="100">
          <cell r="B100">
            <v>23.062124248496993</v>
          </cell>
        </row>
        <row r="101">
          <cell r="B101">
            <v>23.006012024048097</v>
          </cell>
        </row>
        <row r="102">
          <cell r="B102">
            <v>22.949899799599198</v>
          </cell>
        </row>
        <row r="103">
          <cell r="B103">
            <v>22.893787575150299</v>
          </cell>
        </row>
        <row r="104">
          <cell r="B104">
            <v>22.837675350701403</v>
          </cell>
        </row>
        <row r="105">
          <cell r="B105">
            <v>22.781563126252504</v>
          </cell>
        </row>
        <row r="106">
          <cell r="B106">
            <v>22.725450901803608</v>
          </cell>
        </row>
        <row r="107">
          <cell r="B107">
            <v>22.669338677354709</v>
          </cell>
        </row>
        <row r="108">
          <cell r="B108">
            <v>22.613226452905813</v>
          </cell>
        </row>
        <row r="109">
          <cell r="B109">
            <v>22.557114228456914</v>
          </cell>
        </row>
        <row r="110">
          <cell r="B110">
            <v>22.501002004008015</v>
          </cell>
        </row>
        <row r="111">
          <cell r="B111">
            <v>22.444889779559119</v>
          </cell>
        </row>
        <row r="112">
          <cell r="B112">
            <v>22.38877755511022</v>
          </cell>
        </row>
        <row r="113">
          <cell r="B113">
            <v>22.332665330661321</v>
          </cell>
        </row>
        <row r="114">
          <cell r="B114">
            <v>22.276553106212425</v>
          </cell>
        </row>
        <row r="115">
          <cell r="B115">
            <v>22.220440881763526</v>
          </cell>
        </row>
        <row r="116">
          <cell r="B116">
            <v>22.164328657314627</v>
          </cell>
        </row>
        <row r="117">
          <cell r="B117">
            <v>22.108216432865731</v>
          </cell>
        </row>
        <row r="118">
          <cell r="B118">
            <v>22.052104208416836</v>
          </cell>
        </row>
        <row r="119">
          <cell r="B119">
            <v>21.995991983967937</v>
          </cell>
        </row>
        <row r="120">
          <cell r="B120">
            <v>21.939879759519037</v>
          </cell>
        </row>
        <row r="121">
          <cell r="B121">
            <v>21.883767535070142</v>
          </cell>
        </row>
        <row r="122">
          <cell r="B122">
            <v>21.827655310621243</v>
          </cell>
        </row>
        <row r="123">
          <cell r="B123">
            <v>21.771543086172343</v>
          </cell>
        </row>
        <row r="124">
          <cell r="B124">
            <v>21.715430861723448</v>
          </cell>
        </row>
        <row r="125">
          <cell r="B125">
            <v>21.659318637274549</v>
          </cell>
        </row>
        <row r="126">
          <cell r="B126">
            <v>21.603206412825649</v>
          </cell>
        </row>
        <row r="127">
          <cell r="B127">
            <v>21.547094188376754</v>
          </cell>
        </row>
        <row r="128">
          <cell r="B128">
            <v>21.490981963927855</v>
          </cell>
        </row>
        <row r="129">
          <cell r="B129">
            <v>21.434869739478959</v>
          </cell>
        </row>
        <row r="130">
          <cell r="B130">
            <v>21.37875751503006</v>
          </cell>
        </row>
        <row r="131">
          <cell r="B131">
            <v>21.322645290581164</v>
          </cell>
        </row>
        <row r="132">
          <cell r="B132">
            <v>21.266533066132265</v>
          </cell>
        </row>
        <row r="133">
          <cell r="B133">
            <v>21.210420841683366</v>
          </cell>
        </row>
        <row r="134">
          <cell r="B134">
            <v>21.15430861723447</v>
          </cell>
        </row>
        <row r="135">
          <cell r="B135">
            <v>21.098196392785571</v>
          </cell>
        </row>
        <row r="136">
          <cell r="B136">
            <v>21.042084168336672</v>
          </cell>
        </row>
        <row r="137">
          <cell r="B137">
            <v>20.985971943887776</v>
          </cell>
        </row>
        <row r="138">
          <cell r="B138">
            <v>20.929859719438877</v>
          </cell>
        </row>
        <row r="139">
          <cell r="B139">
            <v>20.873747494989978</v>
          </cell>
        </row>
        <row r="140">
          <cell r="B140">
            <v>20.817635270541082</v>
          </cell>
        </row>
        <row r="141">
          <cell r="B141">
            <v>20.761523046092186</v>
          </cell>
        </row>
        <row r="142">
          <cell r="B142">
            <v>20.705410821643287</v>
          </cell>
        </row>
        <row r="143">
          <cell r="B143">
            <v>20.649298597194388</v>
          </cell>
        </row>
        <row r="144">
          <cell r="B144">
            <v>20.593186372745492</v>
          </cell>
        </row>
        <row r="145">
          <cell r="B145">
            <v>20.537074148296593</v>
          </cell>
        </row>
        <row r="146">
          <cell r="B146">
            <v>20.480961923847694</v>
          </cell>
        </row>
        <row r="147">
          <cell r="B147">
            <v>20.424849699398798</v>
          </cell>
        </row>
        <row r="148">
          <cell r="B148">
            <v>20.368737474949899</v>
          </cell>
        </row>
        <row r="149">
          <cell r="B149">
            <v>20.312625250501</v>
          </cell>
        </row>
        <row r="150">
          <cell r="B150">
            <v>20.256513026052104</v>
          </cell>
        </row>
        <row r="151">
          <cell r="B151">
            <v>20.200400801603205</v>
          </cell>
        </row>
        <row r="152">
          <cell r="B152">
            <v>20.14428857715431</v>
          </cell>
        </row>
        <row r="153">
          <cell r="B153">
            <v>20.08817635270541</v>
          </cell>
        </row>
        <row r="154">
          <cell r="B154">
            <v>20.032064128256515</v>
          </cell>
        </row>
        <row r="155">
          <cell r="B155">
            <v>19.975951903807616</v>
          </cell>
        </row>
        <row r="156">
          <cell r="B156">
            <v>19.919839679358716</v>
          </cell>
        </row>
        <row r="157">
          <cell r="B157">
            <v>19.863727454909821</v>
          </cell>
        </row>
        <row r="158">
          <cell r="B158">
            <v>19.807615230460922</v>
          </cell>
        </row>
        <row r="159">
          <cell r="B159">
            <v>19.751503006012022</v>
          </cell>
        </row>
        <row r="160">
          <cell r="B160">
            <v>19.695390781563127</v>
          </cell>
        </row>
        <row r="161">
          <cell r="B161">
            <v>19.639278557114228</v>
          </cell>
        </row>
        <row r="162">
          <cell r="B162">
            <v>19.583166332665328</v>
          </cell>
        </row>
        <row r="163">
          <cell r="B163">
            <v>19.527054108216433</v>
          </cell>
        </row>
        <row r="164">
          <cell r="B164">
            <v>19.470941883767537</v>
          </cell>
        </row>
        <row r="165">
          <cell r="B165">
            <v>19.414829659318638</v>
          </cell>
        </row>
        <row r="166">
          <cell r="B166">
            <v>19.358717434869739</v>
          </cell>
        </row>
        <row r="167">
          <cell r="B167">
            <v>19.302605210420843</v>
          </cell>
        </row>
        <row r="168">
          <cell r="B168">
            <v>19.246492985971944</v>
          </cell>
        </row>
        <row r="169">
          <cell r="B169">
            <v>19.190380761523045</v>
          </cell>
        </row>
        <row r="170">
          <cell r="B170">
            <v>19.134268537074149</v>
          </cell>
        </row>
        <row r="171">
          <cell r="B171">
            <v>19.07815631262525</v>
          </cell>
        </row>
        <row r="172">
          <cell r="B172">
            <v>19.022044088176351</v>
          </cell>
        </row>
        <row r="173">
          <cell r="B173">
            <v>18.965931863727455</v>
          </cell>
        </row>
        <row r="174">
          <cell r="B174">
            <v>18.90981963927856</v>
          </cell>
        </row>
        <row r="175">
          <cell r="B175">
            <v>18.853707414829657</v>
          </cell>
        </row>
        <row r="176">
          <cell r="B176">
            <v>18.797595190380761</v>
          </cell>
        </row>
        <row r="177">
          <cell r="B177">
            <v>18.741482965931866</v>
          </cell>
        </row>
        <row r="178">
          <cell r="B178">
            <v>18.685370741482966</v>
          </cell>
        </row>
        <row r="179">
          <cell r="B179">
            <v>18.629258517034067</v>
          </cell>
        </row>
        <row r="180">
          <cell r="B180">
            <v>18.573146292585172</v>
          </cell>
        </row>
        <row r="181">
          <cell r="B181">
            <v>18.517034068136272</v>
          </cell>
        </row>
        <row r="182">
          <cell r="B182">
            <v>18.460921843687373</v>
          </cell>
        </row>
        <row r="183">
          <cell r="B183">
            <v>18.404809619238478</v>
          </cell>
        </row>
        <row r="184">
          <cell r="B184">
            <v>18.348697394789578</v>
          </cell>
        </row>
        <row r="185">
          <cell r="B185">
            <v>18.292585170340679</v>
          </cell>
        </row>
        <row r="186">
          <cell r="B186">
            <v>18.236472945891784</v>
          </cell>
        </row>
        <row r="187">
          <cell r="B187">
            <v>18.180360721442888</v>
          </cell>
        </row>
        <row r="188">
          <cell r="B188">
            <v>18.124248496993989</v>
          </cell>
        </row>
        <row r="189">
          <cell r="B189">
            <v>18.06813627254509</v>
          </cell>
        </row>
        <row r="190">
          <cell r="B190">
            <v>18.012024048096194</v>
          </cell>
        </row>
        <row r="191">
          <cell r="B191">
            <v>17.955911823647295</v>
          </cell>
        </row>
        <row r="192">
          <cell r="B192">
            <v>17.899799599198396</v>
          </cell>
        </row>
        <row r="193">
          <cell r="B193">
            <v>17.8436873747495</v>
          </cell>
        </row>
        <row r="194">
          <cell r="B194">
            <v>17.787575150300601</v>
          </cell>
        </row>
        <row r="195">
          <cell r="B195">
            <v>17.731462925851702</v>
          </cell>
        </row>
        <row r="196">
          <cell r="B196">
            <v>17.675350701402806</v>
          </cell>
        </row>
        <row r="197">
          <cell r="B197">
            <v>17.61923847695391</v>
          </cell>
        </row>
        <row r="198">
          <cell r="B198">
            <v>17.563126252505008</v>
          </cell>
        </row>
        <row r="199">
          <cell r="B199">
            <v>17.507014028056112</v>
          </cell>
        </row>
        <row r="200">
          <cell r="B200">
            <v>17.450901803607216</v>
          </cell>
        </row>
        <row r="201">
          <cell r="B201">
            <v>17.394789579158317</v>
          </cell>
        </row>
        <row r="202">
          <cell r="B202">
            <v>17.338677354709418</v>
          </cell>
        </row>
        <row r="203">
          <cell r="B203">
            <v>17.282565130260522</v>
          </cell>
        </row>
        <row r="204">
          <cell r="B204">
            <v>17.226452905811623</v>
          </cell>
        </row>
        <row r="205">
          <cell r="B205">
            <v>17.170340681362724</v>
          </cell>
        </row>
        <row r="206">
          <cell r="B206">
            <v>17.114228456913828</v>
          </cell>
        </row>
        <row r="207">
          <cell r="B207">
            <v>17.058116232464929</v>
          </cell>
        </row>
        <row r="208">
          <cell r="B208">
            <v>17.00200400801603</v>
          </cell>
        </row>
        <row r="209">
          <cell r="B209">
            <v>16.945891783567134</v>
          </cell>
        </row>
        <row r="210">
          <cell r="B210">
            <v>16.889779559118239</v>
          </cell>
        </row>
        <row r="211">
          <cell r="B211">
            <v>16.833667334669336</v>
          </cell>
        </row>
        <row r="212">
          <cell r="B212">
            <v>16.77755511022044</v>
          </cell>
        </row>
        <row r="213">
          <cell r="B213">
            <v>16.721442885771545</v>
          </cell>
        </row>
        <row r="214">
          <cell r="B214">
            <v>16.665330661322646</v>
          </cell>
        </row>
        <row r="215">
          <cell r="B215">
            <v>16.609218436873746</v>
          </cell>
        </row>
        <row r="216">
          <cell r="B216">
            <v>16.553106212424851</v>
          </cell>
        </row>
        <row r="217">
          <cell r="B217">
            <v>16.496993987975952</v>
          </cell>
        </row>
        <row r="218">
          <cell r="B218">
            <v>16.440881763527052</v>
          </cell>
        </row>
        <row r="219">
          <cell r="B219">
            <v>16.384769539078157</v>
          </cell>
        </row>
        <row r="220">
          <cell r="B220">
            <v>16.328657314629258</v>
          </cell>
        </row>
        <row r="221">
          <cell r="B221">
            <v>16.272545090180358</v>
          </cell>
        </row>
        <row r="222">
          <cell r="B222">
            <v>16.216432865731463</v>
          </cell>
        </row>
        <row r="223">
          <cell r="B223">
            <v>16.160320641282567</v>
          </cell>
        </row>
        <row r="224">
          <cell r="B224">
            <v>16.104208416833668</v>
          </cell>
        </row>
        <row r="225">
          <cell r="B225">
            <v>16.048096192384769</v>
          </cell>
        </row>
        <row r="226">
          <cell r="B226">
            <v>15.991983967935871</v>
          </cell>
        </row>
        <row r="227">
          <cell r="B227">
            <v>15.935871743486974</v>
          </cell>
        </row>
        <row r="228">
          <cell r="B228">
            <v>15.879759519038076</v>
          </cell>
        </row>
        <row r="229">
          <cell r="B229">
            <v>15.823647294589179</v>
          </cell>
        </row>
        <row r="230">
          <cell r="B230">
            <v>15.76753507014028</v>
          </cell>
        </row>
        <row r="231">
          <cell r="B231">
            <v>15.711422845691382</v>
          </cell>
        </row>
        <row r="232">
          <cell r="B232">
            <v>15.655310621242485</v>
          </cell>
        </row>
        <row r="233">
          <cell r="B233">
            <v>15.599198396793588</v>
          </cell>
        </row>
        <row r="234">
          <cell r="B234">
            <v>15.543086172344688</v>
          </cell>
        </row>
        <row r="235">
          <cell r="B235">
            <v>15.486973947895791</v>
          </cell>
        </row>
        <row r="236">
          <cell r="B236">
            <v>15.430861723446894</v>
          </cell>
        </row>
        <row r="237">
          <cell r="B237">
            <v>15.374749498997996</v>
          </cell>
        </row>
        <row r="238">
          <cell r="B238">
            <v>15.318637274549099</v>
          </cell>
        </row>
        <row r="239">
          <cell r="B239">
            <v>15.2625250501002</v>
          </cell>
        </row>
        <row r="240">
          <cell r="B240">
            <v>15.206412825651302</v>
          </cell>
        </row>
        <row r="241">
          <cell r="B241">
            <v>15.150300601202405</v>
          </cell>
        </row>
        <row r="242">
          <cell r="B242">
            <v>15.094188376753507</v>
          </cell>
        </row>
        <row r="243">
          <cell r="B243">
            <v>15.038076152304608</v>
          </cell>
        </row>
        <row r="244">
          <cell r="B244">
            <v>14.981963927855711</v>
          </cell>
        </row>
        <row r="245">
          <cell r="B245">
            <v>14.925851703406813</v>
          </cell>
        </row>
        <row r="246">
          <cell r="B246">
            <v>14.869739478957916</v>
          </cell>
        </row>
        <row r="247">
          <cell r="B247">
            <v>14.813627254509019</v>
          </cell>
        </row>
        <row r="248">
          <cell r="B248">
            <v>14.757515030060119</v>
          </cell>
        </row>
        <row r="249">
          <cell r="B249">
            <v>14.701402805611222</v>
          </cell>
        </row>
        <row r="250">
          <cell r="B250">
            <v>14.645290581162325</v>
          </cell>
        </row>
        <row r="251">
          <cell r="B251">
            <v>14.589178356713427</v>
          </cell>
        </row>
        <row r="252">
          <cell r="B252">
            <v>14.53306613226453</v>
          </cell>
        </row>
        <row r="253">
          <cell r="B253">
            <v>14.476953907815631</v>
          </cell>
        </row>
        <row r="254">
          <cell r="B254">
            <v>14.420841683366733</v>
          </cell>
        </row>
        <row r="255">
          <cell r="B255">
            <v>14.364729458917836</v>
          </cell>
        </row>
        <row r="256">
          <cell r="B256">
            <v>14.308617234468938</v>
          </cell>
        </row>
        <row r="257">
          <cell r="B257">
            <v>14.252505010020039</v>
          </cell>
        </row>
        <row r="258">
          <cell r="B258">
            <v>14.196392785571142</v>
          </cell>
        </row>
        <row r="259">
          <cell r="B259">
            <v>14.140280561122244</v>
          </cell>
        </row>
        <row r="260">
          <cell r="B260">
            <v>14.084168336673347</v>
          </cell>
        </row>
        <row r="261">
          <cell r="B261">
            <v>14.02805611222445</v>
          </cell>
        </row>
        <row r="262">
          <cell r="B262">
            <v>13.97194388777555</v>
          </cell>
        </row>
        <row r="263">
          <cell r="B263">
            <v>13.915831663326653</v>
          </cell>
        </row>
        <row r="264">
          <cell r="B264">
            <v>13.859719438877756</v>
          </cell>
        </row>
        <row r="265">
          <cell r="B265">
            <v>13.803607214428858</v>
          </cell>
        </row>
        <row r="266">
          <cell r="B266">
            <v>13.747494989979959</v>
          </cell>
        </row>
        <row r="267">
          <cell r="B267">
            <v>13.691382765531062</v>
          </cell>
        </row>
        <row r="268">
          <cell r="B268">
            <v>13.635270541082164</v>
          </cell>
        </row>
        <row r="269">
          <cell r="B269">
            <v>13.579158316633267</v>
          </cell>
        </row>
        <row r="270">
          <cell r="B270">
            <v>13.523046092184369</v>
          </cell>
        </row>
        <row r="271">
          <cell r="B271">
            <v>13.46693386773547</v>
          </cell>
        </row>
        <row r="272">
          <cell r="B272">
            <v>13.410821643286573</v>
          </cell>
        </row>
        <row r="273">
          <cell r="B273">
            <v>13.354709418837675</v>
          </cell>
        </row>
        <row r="274">
          <cell r="B274">
            <v>13.298597194388778</v>
          </cell>
        </row>
        <row r="275">
          <cell r="B275">
            <v>13.242484969939879</v>
          </cell>
        </row>
        <row r="276">
          <cell r="B276">
            <v>13.186372745490981</v>
          </cell>
        </row>
        <row r="277">
          <cell r="B277">
            <v>13.130260521042084</v>
          </cell>
        </row>
        <row r="278">
          <cell r="B278">
            <v>13.074148296593187</v>
          </cell>
        </row>
        <row r="279">
          <cell r="B279">
            <v>13.018036072144289</v>
          </cell>
        </row>
        <row r="280">
          <cell r="B280">
            <v>12.96192384769539</v>
          </cell>
        </row>
        <row r="281">
          <cell r="B281">
            <v>12.905811623246493</v>
          </cell>
        </row>
        <row r="282">
          <cell r="B282">
            <v>12.849699398797595</v>
          </cell>
        </row>
        <row r="283">
          <cell r="B283">
            <v>12.793587174348698</v>
          </cell>
        </row>
        <row r="284">
          <cell r="B284">
            <v>12.737474949899799</v>
          </cell>
        </row>
        <row r="285">
          <cell r="B285">
            <v>12.681362725450901</v>
          </cell>
        </row>
        <row r="286">
          <cell r="B286">
            <v>12.625250501002004</v>
          </cell>
        </row>
        <row r="287">
          <cell r="B287">
            <v>12.569138276553106</v>
          </cell>
        </row>
        <row r="288">
          <cell r="B288">
            <v>12.513026052104209</v>
          </cell>
        </row>
        <row r="289">
          <cell r="B289">
            <v>12.45691382765531</v>
          </cell>
        </row>
        <row r="290">
          <cell r="B290">
            <v>12.400801603206412</v>
          </cell>
        </row>
        <row r="291">
          <cell r="B291">
            <v>12.344689378757515</v>
          </cell>
        </row>
        <row r="292">
          <cell r="B292">
            <v>12.288577154308618</v>
          </cell>
        </row>
        <row r="293">
          <cell r="B293">
            <v>12.23246492985972</v>
          </cell>
        </row>
        <row r="294">
          <cell r="B294">
            <v>12.176352705410821</v>
          </cell>
        </row>
        <row r="295">
          <cell r="B295">
            <v>12.120240480961924</v>
          </cell>
        </row>
        <row r="296">
          <cell r="B296">
            <v>12.064128256513026</v>
          </cell>
        </row>
        <row r="297">
          <cell r="B297">
            <v>12.008016032064129</v>
          </cell>
        </row>
        <row r="298">
          <cell r="B298">
            <v>11.951903807615231</v>
          </cell>
        </row>
        <row r="299">
          <cell r="B299">
            <v>11.895791583166332</v>
          </cell>
        </row>
        <row r="300">
          <cell r="B300">
            <v>11.839679358717433</v>
          </cell>
        </row>
        <row r="301">
          <cell r="B301">
            <v>11.783567134268537</v>
          </cell>
        </row>
        <row r="302">
          <cell r="B302">
            <v>11.727454909819638</v>
          </cell>
        </row>
        <row r="303">
          <cell r="B303">
            <v>11.671342685370742</v>
          </cell>
        </row>
        <row r="304">
          <cell r="B304">
            <v>11.615230460921843</v>
          </cell>
        </row>
        <row r="305">
          <cell r="B305">
            <v>11.559118236472944</v>
          </cell>
        </row>
        <row r="306">
          <cell r="B306">
            <v>11.503006012024048</v>
          </cell>
        </row>
        <row r="307">
          <cell r="B307">
            <v>11.446893787575149</v>
          </cell>
        </row>
        <row r="308">
          <cell r="B308">
            <v>11.390781563126254</v>
          </cell>
        </row>
        <row r="309">
          <cell r="B309">
            <v>11.334669338677354</v>
          </cell>
        </row>
        <row r="310">
          <cell r="B310">
            <v>11.278557114228455</v>
          </cell>
        </row>
        <row r="311">
          <cell r="B311">
            <v>11.22244488977956</v>
          </cell>
        </row>
        <row r="312">
          <cell r="B312">
            <v>11.16633266533066</v>
          </cell>
        </row>
        <row r="313">
          <cell r="B313">
            <v>11.110220440881765</v>
          </cell>
        </row>
        <row r="314">
          <cell r="B314">
            <v>11.054108216432866</v>
          </cell>
        </row>
        <row r="315">
          <cell r="B315">
            <v>10.997995991983966</v>
          </cell>
        </row>
        <row r="316">
          <cell r="B316">
            <v>10.941883767535071</v>
          </cell>
        </row>
        <row r="317">
          <cell r="B317">
            <v>10.885771543086172</v>
          </cell>
        </row>
        <row r="318">
          <cell r="B318">
            <v>10.829659318637276</v>
          </cell>
        </row>
        <row r="319">
          <cell r="B319">
            <v>10.773547094188377</v>
          </cell>
        </row>
        <row r="320">
          <cell r="B320">
            <v>10.717434869739478</v>
          </cell>
        </row>
        <row r="321">
          <cell r="B321">
            <v>10.661322645290582</v>
          </cell>
        </row>
        <row r="322">
          <cell r="B322">
            <v>10.605210420841683</v>
          </cell>
        </row>
        <row r="323">
          <cell r="B323">
            <v>10.549098196392784</v>
          </cell>
        </row>
        <row r="324">
          <cell r="B324">
            <v>10.492985971943888</v>
          </cell>
        </row>
        <row r="325">
          <cell r="B325">
            <v>10.436873747494989</v>
          </cell>
        </row>
        <row r="326">
          <cell r="B326">
            <v>10.380761523046093</v>
          </cell>
        </row>
        <row r="327">
          <cell r="B327">
            <v>10.324649298597194</v>
          </cell>
        </row>
        <row r="328">
          <cell r="B328">
            <v>10.268537074148295</v>
          </cell>
        </row>
        <row r="329">
          <cell r="B329">
            <v>10.212424849699399</v>
          </cell>
        </row>
        <row r="330">
          <cell r="B330">
            <v>10.1563126252505</v>
          </cell>
        </row>
        <row r="331">
          <cell r="B331">
            <v>10.100200400801604</v>
          </cell>
        </row>
        <row r="332">
          <cell r="B332">
            <v>10.044088176352705</v>
          </cell>
        </row>
        <row r="333">
          <cell r="B333">
            <v>9.987975951903806</v>
          </cell>
        </row>
        <row r="334">
          <cell r="B334">
            <v>9.9318637274549104</v>
          </cell>
        </row>
        <row r="335">
          <cell r="B335">
            <v>9.8757515030060112</v>
          </cell>
        </row>
        <row r="336">
          <cell r="B336">
            <v>9.8196392785571156</v>
          </cell>
        </row>
        <row r="337">
          <cell r="B337">
            <v>9.7635270541082164</v>
          </cell>
        </row>
        <row r="338">
          <cell r="B338">
            <v>9.7074148296593172</v>
          </cell>
        </row>
        <row r="339">
          <cell r="B339">
            <v>9.6513026052104216</v>
          </cell>
        </row>
        <row r="340">
          <cell r="B340">
            <v>9.5951903807615224</v>
          </cell>
        </row>
        <row r="341">
          <cell r="B341">
            <v>9.5390781563126268</v>
          </cell>
        </row>
        <row r="342">
          <cell r="B342">
            <v>9.4829659318637276</v>
          </cell>
        </row>
        <row r="343">
          <cell r="B343">
            <v>9.4268537074148284</v>
          </cell>
        </row>
        <row r="344">
          <cell r="B344">
            <v>9.3707414829659328</v>
          </cell>
        </row>
        <row r="345">
          <cell r="B345">
            <v>9.3146292585170336</v>
          </cell>
        </row>
        <row r="346">
          <cell r="B346">
            <v>9.2585170340681344</v>
          </cell>
        </row>
        <row r="347">
          <cell r="B347">
            <v>9.2024048096192388</v>
          </cell>
        </row>
        <row r="348">
          <cell r="B348">
            <v>9.1462925851703396</v>
          </cell>
        </row>
        <row r="349">
          <cell r="B349">
            <v>9.090180360721444</v>
          </cell>
        </row>
        <row r="350">
          <cell r="B350">
            <v>9.0340681362725448</v>
          </cell>
        </row>
        <row r="351">
          <cell r="B351">
            <v>8.9779559118236456</v>
          </cell>
        </row>
        <row r="352">
          <cell r="B352">
            <v>8.92184368737475</v>
          </cell>
        </row>
        <row r="353">
          <cell r="B353">
            <v>8.8657314629258508</v>
          </cell>
        </row>
        <row r="354">
          <cell r="B354">
            <v>8.8096192384769552</v>
          </cell>
        </row>
        <row r="355">
          <cell r="B355">
            <v>8.753507014028056</v>
          </cell>
        </row>
        <row r="356">
          <cell r="B356">
            <v>8.6973947895791568</v>
          </cell>
        </row>
        <row r="357">
          <cell r="B357">
            <v>8.6412825651302612</v>
          </cell>
        </row>
        <row r="358">
          <cell r="B358">
            <v>8.585170340681362</v>
          </cell>
        </row>
        <row r="359">
          <cell r="B359">
            <v>8.5290581162324663</v>
          </cell>
        </row>
        <row r="360">
          <cell r="B360">
            <v>8.4729458917835672</v>
          </cell>
        </row>
        <row r="361">
          <cell r="B361">
            <v>8.416833667334668</v>
          </cell>
        </row>
        <row r="362">
          <cell r="B362">
            <v>8.3607214428857723</v>
          </cell>
        </row>
        <row r="363">
          <cell r="B363">
            <v>8.3046092184368732</v>
          </cell>
        </row>
        <row r="364">
          <cell r="B364">
            <v>8.2484969939879775</v>
          </cell>
        </row>
        <row r="365">
          <cell r="B365">
            <v>8.1923847695390783</v>
          </cell>
        </row>
        <row r="366">
          <cell r="B366">
            <v>8.1362725450901792</v>
          </cell>
        </row>
        <row r="367">
          <cell r="B367">
            <v>8.0801603206412835</v>
          </cell>
        </row>
        <row r="368">
          <cell r="B368">
            <v>8.0240480961923843</v>
          </cell>
        </row>
        <row r="369">
          <cell r="B369">
            <v>7.9679358717434852</v>
          </cell>
        </row>
        <row r="370">
          <cell r="B370">
            <v>7.9118236472945895</v>
          </cell>
        </row>
        <row r="371">
          <cell r="B371">
            <v>7.8557114228456904</v>
          </cell>
        </row>
        <row r="372">
          <cell r="B372">
            <v>7.7995991983967947</v>
          </cell>
        </row>
        <row r="373">
          <cell r="B373">
            <v>7.7434869739478955</v>
          </cell>
        </row>
        <row r="374">
          <cell r="B374">
            <v>7.6873747494989964</v>
          </cell>
        </row>
        <row r="375">
          <cell r="B375">
            <v>7.6312625250501007</v>
          </cell>
        </row>
        <row r="376">
          <cell r="B376">
            <v>7.5751503006012015</v>
          </cell>
        </row>
        <row r="377">
          <cell r="B377">
            <v>7.5190380761523059</v>
          </cell>
        </row>
        <row r="378">
          <cell r="B378">
            <v>7.4629258517034067</v>
          </cell>
        </row>
        <row r="379">
          <cell r="B379">
            <v>7.4068136272545075</v>
          </cell>
        </row>
        <row r="380">
          <cell r="B380">
            <v>7.3507014028056119</v>
          </cell>
        </row>
        <row r="381">
          <cell r="B381">
            <v>7.2945891783567127</v>
          </cell>
        </row>
        <row r="382">
          <cell r="B382">
            <v>7.2384769539078171</v>
          </cell>
        </row>
        <row r="383">
          <cell r="B383">
            <v>7.1823647294589179</v>
          </cell>
        </row>
        <row r="384">
          <cell r="B384">
            <v>7.1262525050100187</v>
          </cell>
        </row>
        <row r="385">
          <cell r="B385">
            <v>7.0701402805611231</v>
          </cell>
        </row>
        <row r="386">
          <cell r="B386">
            <v>7.0140280561122239</v>
          </cell>
        </row>
        <row r="387">
          <cell r="B387">
            <v>6.9579158316633247</v>
          </cell>
        </row>
        <row r="388">
          <cell r="B388">
            <v>6.9018036072144291</v>
          </cell>
        </row>
        <row r="389">
          <cell r="B389">
            <v>6.8456913827655299</v>
          </cell>
        </row>
        <row r="390">
          <cell r="B390">
            <v>6.7895791583166343</v>
          </cell>
        </row>
        <row r="391">
          <cell r="B391">
            <v>6.7334669338677351</v>
          </cell>
        </row>
        <row r="392">
          <cell r="B392">
            <v>6.6773547094188359</v>
          </cell>
        </row>
        <row r="393">
          <cell r="B393">
            <v>6.6212424849699403</v>
          </cell>
        </row>
        <row r="394">
          <cell r="B394">
            <v>6.5651302605210411</v>
          </cell>
        </row>
        <row r="395">
          <cell r="B395">
            <v>6.5090180360721455</v>
          </cell>
        </row>
        <row r="396">
          <cell r="B396">
            <v>6.4529058116232463</v>
          </cell>
        </row>
        <row r="397">
          <cell r="B397">
            <v>6.3967935871743471</v>
          </cell>
        </row>
        <row r="398">
          <cell r="B398">
            <v>6.3406813627254515</v>
          </cell>
        </row>
        <row r="399">
          <cell r="B399">
            <v>6.2845691382765523</v>
          </cell>
        </row>
        <row r="400">
          <cell r="B400">
            <v>6.2284569138276566</v>
          </cell>
        </row>
        <row r="401">
          <cell r="B401">
            <v>6.1723446893787575</v>
          </cell>
        </row>
        <row r="402">
          <cell r="B402">
            <v>6.1162324649298583</v>
          </cell>
        </row>
        <row r="403">
          <cell r="B403">
            <v>6.0601202404809627</v>
          </cell>
        </row>
        <row r="404">
          <cell r="B404">
            <v>6.0040080160320635</v>
          </cell>
        </row>
        <row r="405">
          <cell r="B405">
            <v>5.9478957915831678</v>
          </cell>
        </row>
        <row r="406">
          <cell r="B406">
            <v>5.8917835671342687</v>
          </cell>
        </row>
        <row r="407">
          <cell r="B407">
            <v>5.8356713426853695</v>
          </cell>
        </row>
        <row r="408">
          <cell r="B408">
            <v>5.7795591182364738</v>
          </cell>
        </row>
        <row r="409">
          <cell r="B409">
            <v>5.7234468937875747</v>
          </cell>
        </row>
        <row r="410">
          <cell r="B410">
            <v>5.6673346693386755</v>
          </cell>
        </row>
        <row r="411">
          <cell r="B411">
            <v>5.6112224448897798</v>
          </cell>
        </row>
        <row r="412">
          <cell r="B412">
            <v>5.5551102204408807</v>
          </cell>
        </row>
        <row r="413">
          <cell r="B413">
            <v>5.498997995991985</v>
          </cell>
        </row>
        <row r="414">
          <cell r="B414">
            <v>5.4428857715430858</v>
          </cell>
        </row>
        <row r="415">
          <cell r="B415">
            <v>5.3867735470941867</v>
          </cell>
        </row>
        <row r="416">
          <cell r="B416">
            <v>5.330661322645291</v>
          </cell>
        </row>
        <row r="417">
          <cell r="B417">
            <v>5.2745490981963918</v>
          </cell>
        </row>
        <row r="418">
          <cell r="B418">
            <v>5.2184368737474962</v>
          </cell>
        </row>
        <row r="419">
          <cell r="B419">
            <v>5.162324649298597</v>
          </cell>
        </row>
        <row r="420">
          <cell r="B420">
            <v>5.1062124248496978</v>
          </cell>
        </row>
        <row r="421">
          <cell r="B421">
            <v>5.0501002004008022</v>
          </cell>
        </row>
        <row r="422">
          <cell r="B422">
            <v>4.993987975951903</v>
          </cell>
        </row>
        <row r="423">
          <cell r="B423">
            <v>4.9378757515030074</v>
          </cell>
        </row>
        <row r="424">
          <cell r="B424">
            <v>4.8817635270541082</v>
          </cell>
        </row>
        <row r="425">
          <cell r="B425">
            <v>4.825651302605209</v>
          </cell>
        </row>
        <row r="426">
          <cell r="B426">
            <v>4.7695390781563134</v>
          </cell>
        </row>
        <row r="427">
          <cell r="B427">
            <v>4.7134268537074142</v>
          </cell>
        </row>
        <row r="428">
          <cell r="B428">
            <v>4.657314629258515</v>
          </cell>
        </row>
        <row r="429">
          <cell r="B429">
            <v>4.6012024048096194</v>
          </cell>
        </row>
        <row r="430">
          <cell r="B430">
            <v>4.5450901803607202</v>
          </cell>
        </row>
        <row r="431">
          <cell r="B431">
            <v>4.4889779559118246</v>
          </cell>
        </row>
        <row r="432">
          <cell r="B432">
            <v>4.4328657314629254</v>
          </cell>
        </row>
        <row r="433">
          <cell r="B433">
            <v>4.3767535070140262</v>
          </cell>
        </row>
        <row r="434">
          <cell r="B434">
            <v>4.3206412825651306</v>
          </cell>
        </row>
        <row r="435">
          <cell r="B435">
            <v>4.2645290581162314</v>
          </cell>
        </row>
        <row r="436">
          <cell r="B436">
            <v>4.2084168336673358</v>
          </cell>
        </row>
        <row r="437">
          <cell r="B437">
            <v>4.1523046092184366</v>
          </cell>
        </row>
        <row r="438">
          <cell r="B438">
            <v>4.0961923847695374</v>
          </cell>
        </row>
        <row r="439">
          <cell r="B439">
            <v>4.0400801603206418</v>
          </cell>
        </row>
        <row r="440">
          <cell r="B440">
            <v>3.9839679358717426</v>
          </cell>
        </row>
        <row r="441">
          <cell r="B441">
            <v>3.927855711422847</v>
          </cell>
        </row>
        <row r="442">
          <cell r="B442">
            <v>3.8717434869739478</v>
          </cell>
        </row>
        <row r="443">
          <cell r="B443">
            <v>3.8156312625250486</v>
          </cell>
        </row>
        <row r="444">
          <cell r="B444">
            <v>3.759519038076153</v>
          </cell>
        </row>
        <row r="445">
          <cell r="B445">
            <v>3.7034068136272538</v>
          </cell>
        </row>
        <row r="446">
          <cell r="B446">
            <v>3.6472945891783581</v>
          </cell>
        </row>
        <row r="447">
          <cell r="B447">
            <v>3.591182364729459</v>
          </cell>
        </row>
        <row r="448">
          <cell r="B448">
            <v>3.5350701402805598</v>
          </cell>
        </row>
        <row r="449">
          <cell r="B449">
            <v>3.4789579158316641</v>
          </cell>
        </row>
        <row r="450">
          <cell r="B450">
            <v>3.422845691382765</v>
          </cell>
        </row>
        <row r="451">
          <cell r="B451">
            <v>3.3667334669338658</v>
          </cell>
        </row>
        <row r="452">
          <cell r="B452">
            <v>3.3106212424849701</v>
          </cell>
        </row>
        <row r="453">
          <cell r="B453">
            <v>3.254509018036071</v>
          </cell>
        </row>
        <row r="454">
          <cell r="B454">
            <v>3.1983967935871753</v>
          </cell>
        </row>
        <row r="455">
          <cell r="B455">
            <v>3.1422845691382761</v>
          </cell>
        </row>
        <row r="456">
          <cell r="B456">
            <v>3.086172344689377</v>
          </cell>
        </row>
        <row r="457">
          <cell r="B457">
            <v>3.0300601202404813</v>
          </cell>
        </row>
        <row r="458">
          <cell r="B458">
            <v>2.9739478957915821</v>
          </cell>
        </row>
        <row r="459">
          <cell r="B459">
            <v>2.9178356713426865</v>
          </cell>
        </row>
        <row r="460">
          <cell r="B460">
            <v>2.8617234468937873</v>
          </cell>
        </row>
        <row r="461">
          <cell r="B461">
            <v>2.8056112224448881</v>
          </cell>
        </row>
        <row r="462">
          <cell r="B462">
            <v>2.7494989979959925</v>
          </cell>
        </row>
        <row r="463">
          <cell r="B463">
            <v>2.6933867735470933</v>
          </cell>
        </row>
        <row r="464">
          <cell r="B464">
            <v>2.6372745490981977</v>
          </cell>
        </row>
        <row r="465">
          <cell r="B465">
            <v>2.5811623246492985</v>
          </cell>
        </row>
        <row r="466">
          <cell r="B466">
            <v>2.5250501002003993</v>
          </cell>
        </row>
        <row r="467">
          <cell r="B467">
            <v>2.4689378757515037</v>
          </cell>
        </row>
        <row r="468">
          <cell r="B468">
            <v>2.4128256513026045</v>
          </cell>
        </row>
        <row r="469">
          <cell r="B469">
            <v>2.3567134268537089</v>
          </cell>
        </row>
        <row r="470">
          <cell r="B470">
            <v>2.3006012024048097</v>
          </cell>
        </row>
        <row r="471">
          <cell r="B471">
            <v>2.2444889779559105</v>
          </cell>
        </row>
        <row r="472">
          <cell r="B472">
            <v>2.1883767535070149</v>
          </cell>
        </row>
        <row r="473">
          <cell r="B473">
            <v>2.1322645290581157</v>
          </cell>
        </row>
        <row r="474">
          <cell r="B474">
            <v>2.0761523046092165</v>
          </cell>
        </row>
        <row r="475">
          <cell r="B475">
            <v>2.0200400801603209</v>
          </cell>
        </row>
        <row r="476">
          <cell r="B476">
            <v>1.9639278557114217</v>
          </cell>
        </row>
        <row r="477">
          <cell r="B477">
            <v>1.9078156312625261</v>
          </cell>
        </row>
        <row r="478">
          <cell r="B478">
            <v>1.8517034068136269</v>
          </cell>
        </row>
        <row r="479">
          <cell r="B479">
            <v>1.7955911823647277</v>
          </cell>
        </row>
        <row r="480">
          <cell r="B480">
            <v>1.7394789579158321</v>
          </cell>
        </row>
        <row r="481">
          <cell r="B481">
            <v>1.6833667334669329</v>
          </cell>
        </row>
        <row r="482">
          <cell r="B482">
            <v>1.6272545090180373</v>
          </cell>
        </row>
        <row r="483">
          <cell r="B483">
            <v>1.5711422845691381</v>
          </cell>
        </row>
        <row r="484">
          <cell r="B484">
            <v>1.5150300601202389</v>
          </cell>
        </row>
        <row r="485">
          <cell r="B485">
            <v>1.4589178356713433</v>
          </cell>
        </row>
        <row r="486">
          <cell r="B486">
            <v>1.4028056112224441</v>
          </cell>
        </row>
        <row r="487">
          <cell r="B487">
            <v>1.3466933867735484</v>
          </cell>
        </row>
        <row r="488">
          <cell r="B488">
            <v>1.2905811623246493</v>
          </cell>
        </row>
        <row r="489">
          <cell r="B489">
            <v>1.2344689378757501</v>
          </cell>
        </row>
        <row r="490">
          <cell r="B490">
            <v>1.1783567134268544</v>
          </cell>
        </row>
        <row r="491">
          <cell r="B491">
            <v>1.1222444889779553</v>
          </cell>
        </row>
        <row r="492">
          <cell r="B492">
            <v>1.0661322645290596</v>
          </cell>
        </row>
        <row r="493">
          <cell r="B493">
            <v>1.0100200400801604</v>
          </cell>
        </row>
        <row r="494">
          <cell r="B494">
            <v>0.95390781563126126</v>
          </cell>
        </row>
        <row r="495">
          <cell r="B495">
            <v>0.89779559118236563</v>
          </cell>
        </row>
        <row r="496">
          <cell r="B496">
            <v>0.84168336673346644</v>
          </cell>
        </row>
        <row r="497">
          <cell r="B497">
            <v>0.78557114228456726</v>
          </cell>
        </row>
        <row r="498">
          <cell r="B498">
            <v>0.72945891783567163</v>
          </cell>
        </row>
        <row r="499">
          <cell r="B499">
            <v>0.67334669338677244</v>
          </cell>
        </row>
        <row r="500">
          <cell r="B500">
            <v>0.61723446893787681</v>
          </cell>
        </row>
        <row r="501">
          <cell r="B501">
            <v>0.56112224448897763</v>
          </cell>
        </row>
        <row r="502">
          <cell r="B502">
            <v>0.50501002004007844</v>
          </cell>
        </row>
        <row r="503">
          <cell r="B503">
            <v>0.44889779559118281</v>
          </cell>
        </row>
        <row r="504">
          <cell r="B504">
            <v>0.39278557114228363</v>
          </cell>
        </row>
        <row r="505">
          <cell r="B505">
            <v>0.336673346693388</v>
          </cell>
        </row>
        <row r="506">
          <cell r="B506">
            <v>0.28056112224448881</v>
          </cell>
        </row>
        <row r="507">
          <cell r="B507">
            <v>0.22444889779558963</v>
          </cell>
        </row>
        <row r="508">
          <cell r="B508">
            <v>0.168336673346694</v>
          </cell>
        </row>
        <row r="509">
          <cell r="B509">
            <v>0.11222444889779482</v>
          </cell>
        </row>
        <row r="510">
          <cell r="B510">
            <v>5.6112224448899184E-2</v>
          </cell>
        </row>
        <row r="511">
          <cell r="B5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topLeftCell="C1" zoomScale="58" zoomScaleNormal="163" workbookViewId="0">
      <selection activeCell="X30" sqref="X30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1</v>
      </c>
      <c r="D1" s="1"/>
      <c r="E1" s="1" t="s">
        <v>24</v>
      </c>
    </row>
    <row r="2" spans="1:12" x14ac:dyDescent="0.4">
      <c r="A2" t="s">
        <v>7</v>
      </c>
      <c r="B2">
        <v>500</v>
      </c>
      <c r="C2" t="s">
        <v>18</v>
      </c>
      <c r="E2" t="s">
        <v>32</v>
      </c>
    </row>
    <row r="3" spans="1:12" x14ac:dyDescent="0.4">
      <c r="A3" t="s">
        <v>27</v>
      </c>
      <c r="B3">
        <f>$B$6/($B$2-1)</f>
        <v>4.6092184368737472E-2</v>
      </c>
      <c r="C3" t="s">
        <v>28</v>
      </c>
      <c r="E3" s="2" t="s">
        <v>30</v>
      </c>
      <c r="J3" t="s">
        <v>31</v>
      </c>
    </row>
    <row r="4" spans="1:12" x14ac:dyDescent="0.4">
      <c r="A4" t="s">
        <v>13</v>
      </c>
      <c r="B4">
        <v>28</v>
      </c>
      <c r="C4" t="s">
        <v>17</v>
      </c>
      <c r="E4" t="s">
        <v>23</v>
      </c>
      <c r="F4">
        <f>90/$B$4^2</f>
        <v>0.11479591836734694</v>
      </c>
    </row>
    <row r="5" spans="1:12" x14ac:dyDescent="0.4">
      <c r="A5" s="2" t="s">
        <v>14</v>
      </c>
      <c r="B5">
        <v>90</v>
      </c>
      <c r="C5" t="s">
        <v>12</v>
      </c>
      <c r="E5" t="s">
        <v>26</v>
      </c>
      <c r="F5">
        <v>0</v>
      </c>
      <c r="G5" s="3" t="s">
        <v>25</v>
      </c>
      <c r="H5">
        <f>90/$B$4^2</f>
        <v>0.11479591836734694</v>
      </c>
    </row>
    <row r="6" spans="1:12" x14ac:dyDescent="0.4">
      <c r="A6" t="s">
        <v>4</v>
      </c>
      <c r="B6">
        <f>23</f>
        <v>23</v>
      </c>
      <c r="C6" t="s">
        <v>10</v>
      </c>
      <c r="E6" s="2"/>
    </row>
    <row r="7" spans="1:12" x14ac:dyDescent="0.4">
      <c r="A7" t="s">
        <v>0</v>
      </c>
      <c r="B7">
        <f>B6*TAN(RADIANS(90-$B$4))</f>
        <v>43.256708702965632</v>
      </c>
      <c r="C7" t="s">
        <v>11</v>
      </c>
    </row>
    <row r="10" spans="1:12" x14ac:dyDescent="0.4">
      <c r="A10" s="1" t="s">
        <v>2</v>
      </c>
      <c r="J10" s="1" t="s">
        <v>19</v>
      </c>
    </row>
    <row r="11" spans="1:12" x14ac:dyDescent="0.4">
      <c r="A11" t="s">
        <v>3</v>
      </c>
      <c r="B11" t="s">
        <v>5</v>
      </c>
      <c r="C11" t="s">
        <v>6</v>
      </c>
      <c r="D11" t="s">
        <v>15</v>
      </c>
      <c r="E11" t="s">
        <v>29</v>
      </c>
      <c r="F11" t="s">
        <v>16</v>
      </c>
      <c r="G11" t="s">
        <v>8</v>
      </c>
      <c r="H11" t="s">
        <v>9</v>
      </c>
      <c r="J11" t="s">
        <v>20</v>
      </c>
      <c r="K11" t="s">
        <v>21</v>
      </c>
      <c r="L11" t="s">
        <v>22</v>
      </c>
    </row>
    <row r="12" spans="1:12" x14ac:dyDescent="0.4">
      <c r="A12" cm="1">
        <f t="array" ref="A12:A511">_xlfn.SEQUENCE(B2,1,0,1)</f>
        <v>0</v>
      </c>
      <c r="B12">
        <f>B6</f>
        <v>23</v>
      </c>
      <c r="C12">
        <f>B7</f>
        <v>43.256708702965632</v>
      </c>
      <c r="D12">
        <f>IF(A12="",NA(),$B$4)</f>
        <v>28</v>
      </c>
      <c r="E12">
        <f>IF(A12="",NA(),SIN(RADIANS(D12)))</f>
        <v>0.46947156278589081</v>
      </c>
      <c r="F12">
        <f>IF(A12="", NA(), 180-MEDIAN(90, 180, $F$4*D12^2 - ((90+$F$4*$B$4^2)/$B$4)*D12 + 180))</f>
        <v>90</v>
      </c>
      <c r="G12">
        <f t="shared" ref="G12:G75" si="0">IFERROR((-D12+F12)/2,IF($B$2-1=A12,G11,NA()))</f>
        <v>31</v>
      </c>
      <c r="H12">
        <f t="shared" ref="H12:H75" si="1">IF(A12="",NA(),B12+TAN(RADIANS(F12))*C12)</f>
        <v>7.061464025793024E+17</v>
      </c>
      <c r="J12">
        <f t="shared" ref="J12:J75" si="2">IF(A12="",NA(),B12/10)</f>
        <v>2.2999999999999998</v>
      </c>
      <c r="K12">
        <f t="shared" ref="K12:K75" si="3">IF(A12="",NA(),C12/10)</f>
        <v>4.3256708702965634</v>
      </c>
      <c r="L12">
        <v>0</v>
      </c>
    </row>
    <row r="13" spans="1:12" x14ac:dyDescent="0.4">
      <c r="A13">
        <v>1</v>
      </c>
      <c r="B13">
        <f t="shared" ref="B13:B76" si="4">IFERROR(ROUND(-$B$6*(A13/($B$2-1)-1),20),IF($B$2-1=A13,0,NA()))</f>
        <v>22.9539078156313</v>
      </c>
      <c r="C13">
        <f t="shared" ref="C13:C76" si="5">IFERROR(C12-TAN(RADIANS(G12))*$B$3,IF($B$2-1=A13,C12,NA()))</f>
        <v>43.229013724533502</v>
      </c>
      <c r="D13">
        <f>IF(A13="",NA(),DEGREES(ATAN(B13/C13)))</f>
        <v>27.967579936615142</v>
      </c>
      <c r="E13">
        <f t="shared" ref="E13:E76" si="6">IF(A13="",NA(),SIN(RADIANS(D13)))</f>
        <v>0.46897188337242657</v>
      </c>
      <c r="F13">
        <f t="shared" ref="F13:F76" si="7">IF(A13="", NA(), 180-MEDIAN(90, 180, $F$4*D13^2 - ((90+$F$4*$B$4^2)/$B$4)*D13 + 180))</f>
        <v>89.999879342543522</v>
      </c>
      <c r="G13">
        <f t="shared" si="0"/>
        <v>31.016149702964192</v>
      </c>
      <c r="H13">
        <f t="shared" si="1"/>
        <v>20527888.461167537</v>
      </c>
      <c r="J13">
        <f t="shared" si="2"/>
        <v>2.29539078156313</v>
      </c>
      <c r="K13">
        <f t="shared" si="3"/>
        <v>4.3229013724533498</v>
      </c>
      <c r="L13">
        <v>0</v>
      </c>
    </row>
    <row r="14" spans="1:12" x14ac:dyDescent="0.4">
      <c r="A14">
        <v>2</v>
      </c>
      <c r="B14">
        <f t="shared" si="4"/>
        <v>22.907815631262501</v>
      </c>
      <c r="C14">
        <f t="shared" si="5"/>
        <v>43.201301060836151</v>
      </c>
      <c r="D14">
        <f t="shared" ref="D14:D77" si="8">IF(A14="",NA(),DEGREES(ATAN(B14/C14)))</f>
        <v>27.935108483560164</v>
      </c>
      <c r="E14">
        <f t="shared" si="6"/>
        <v>0.46847126139898221</v>
      </c>
      <c r="F14">
        <f t="shared" si="7"/>
        <v>89.999516604844999</v>
      </c>
      <c r="G14">
        <f t="shared" si="0"/>
        <v>31.032204060642417</v>
      </c>
      <c r="H14">
        <f t="shared" si="1"/>
        <v>5120579.4433228904</v>
      </c>
      <c r="J14">
        <f t="shared" si="2"/>
        <v>2.29078156312625</v>
      </c>
      <c r="K14">
        <f t="shared" si="3"/>
        <v>4.3201301060836155</v>
      </c>
      <c r="L14">
        <v>0</v>
      </c>
    </row>
    <row r="15" spans="1:12" x14ac:dyDescent="0.4">
      <c r="A15">
        <v>3</v>
      </c>
      <c r="B15">
        <f t="shared" si="4"/>
        <v>22.861723446893802</v>
      </c>
      <c r="C15">
        <f t="shared" si="5"/>
        <v>43.173570810342319</v>
      </c>
      <c r="D15">
        <f t="shared" si="8"/>
        <v>27.902585431096963</v>
      </c>
      <c r="E15">
        <f t="shared" si="6"/>
        <v>0.46796969307652481</v>
      </c>
      <c r="F15">
        <f t="shared" si="7"/>
        <v>89.998910632855726</v>
      </c>
      <c r="G15">
        <f t="shared" si="0"/>
        <v>31.04816260087938</v>
      </c>
      <c r="H15">
        <f t="shared" si="1"/>
        <v>2270757.2111560032</v>
      </c>
      <c r="J15">
        <f t="shared" si="2"/>
        <v>2.2861723446893802</v>
      </c>
      <c r="K15">
        <f t="shared" si="3"/>
        <v>4.3173570810342321</v>
      </c>
      <c r="L15">
        <v>0</v>
      </c>
    </row>
    <row r="16" spans="1:12" x14ac:dyDescent="0.4">
      <c r="A16">
        <v>4</v>
      </c>
      <c r="B16">
        <f t="shared" si="4"/>
        <v>22.815631262524999</v>
      </c>
      <c r="C16">
        <f t="shared" si="5"/>
        <v>43.145823072138079</v>
      </c>
      <c r="D16">
        <f t="shared" si="8"/>
        <v>27.870010568609832</v>
      </c>
      <c r="E16">
        <f t="shared" si="6"/>
        <v>0.46746717459903486</v>
      </c>
      <c r="F16">
        <f t="shared" si="7"/>
        <v>89.998060264407414</v>
      </c>
      <c r="G16">
        <f t="shared" si="0"/>
        <v>31.064024847898793</v>
      </c>
      <c r="H16">
        <f t="shared" si="1"/>
        <v>1274461.2360782386</v>
      </c>
      <c r="J16">
        <f t="shared" si="2"/>
        <v>2.2815631262524998</v>
      </c>
      <c r="K16">
        <f t="shared" si="3"/>
        <v>4.3145823072138079</v>
      </c>
      <c r="L16">
        <v>0</v>
      </c>
    </row>
    <row r="17" spans="1:12" x14ac:dyDescent="0.4">
      <c r="A17">
        <v>5</v>
      </c>
      <c r="B17">
        <f t="shared" si="4"/>
        <v>22.769539078156299</v>
      </c>
      <c r="C17">
        <f t="shared" si="5"/>
        <v>43.118057945931078</v>
      </c>
      <c r="D17">
        <f t="shared" si="8"/>
        <v>27.837383684603097</v>
      </c>
      <c r="E17">
        <f t="shared" si="6"/>
        <v>0.46696370214345106</v>
      </c>
      <c r="F17">
        <f t="shared" si="7"/>
        <v>89.996964329154352</v>
      </c>
      <c r="G17">
        <f t="shared" si="0"/>
        <v>31.079790322275628</v>
      </c>
      <c r="H17">
        <f t="shared" si="1"/>
        <v>813840.49366021727</v>
      </c>
      <c r="J17">
        <f t="shared" si="2"/>
        <v>2.27695390781563</v>
      </c>
      <c r="K17">
        <f t="shared" si="3"/>
        <v>4.3118057945931074</v>
      </c>
      <c r="L17">
        <v>0</v>
      </c>
    </row>
    <row r="18" spans="1:12" x14ac:dyDescent="0.4">
      <c r="A18">
        <v>6</v>
      </c>
      <c r="B18">
        <f t="shared" si="4"/>
        <v>22.7234468937876</v>
      </c>
      <c r="C18">
        <f t="shared" si="5"/>
        <v>43.090275532054783</v>
      </c>
      <c r="D18">
        <f t="shared" si="8"/>
        <v>27.804704566697204</v>
      </c>
      <c r="E18">
        <f t="shared" si="6"/>
        <v>0.46645927186959135</v>
      </c>
      <c r="F18">
        <f t="shared" si="7"/>
        <v>89.995621648515041</v>
      </c>
      <c r="G18">
        <f t="shared" si="0"/>
        <v>31.095458540908918</v>
      </c>
      <c r="H18">
        <f t="shared" si="1"/>
        <v>563908.68137276045</v>
      </c>
      <c r="J18">
        <f t="shared" si="2"/>
        <v>2.2723446893787598</v>
      </c>
      <c r="K18">
        <f t="shared" si="3"/>
        <v>4.3090275532054783</v>
      </c>
      <c r="L18">
        <v>0</v>
      </c>
    </row>
    <row r="19" spans="1:12" x14ac:dyDescent="0.4">
      <c r="A19">
        <v>7</v>
      </c>
      <c r="B19">
        <f t="shared" si="4"/>
        <v>22.6773547094188</v>
      </c>
      <c r="C19">
        <f t="shared" si="5"/>
        <v>43.062475931472768</v>
      </c>
      <c r="D19">
        <f t="shared" si="8"/>
        <v>27.771973001625884</v>
      </c>
      <c r="E19">
        <f t="shared" si="6"/>
        <v>0.46595387992009041</v>
      </c>
      <c r="F19">
        <f t="shared" si="7"/>
        <v>89.994031035613673</v>
      </c>
      <c r="G19">
        <f t="shared" si="0"/>
        <v>31.111029016993896</v>
      </c>
      <c r="H19">
        <f t="shared" si="1"/>
        <v>413377.14852259791</v>
      </c>
      <c r="J19">
        <f t="shared" si="2"/>
        <v>2.2677354709418802</v>
      </c>
      <c r="K19">
        <f t="shared" si="3"/>
        <v>4.306247593147277</v>
      </c>
      <c r="L19">
        <v>0</v>
      </c>
    </row>
    <row r="20" spans="1:12" x14ac:dyDescent="0.4">
      <c r="A20">
        <v>8</v>
      </c>
      <c r="B20">
        <f t="shared" si="4"/>
        <v>22.631262525050101</v>
      </c>
      <c r="C20">
        <f t="shared" si="5"/>
        <v>43.034659245783011</v>
      </c>
      <c r="D20">
        <f t="shared" si="8"/>
        <v>27.739188775233245</v>
      </c>
      <c r="E20">
        <f t="shared" si="6"/>
        <v>0.46544752242033599</v>
      </c>
      <c r="F20">
        <f t="shared" si="7"/>
        <v>89.99219129522092</v>
      </c>
      <c r="G20">
        <f t="shared" si="0"/>
        <v>31.126501259993837</v>
      </c>
      <c r="H20">
        <f t="shared" si="1"/>
        <v>315786.18002731493</v>
      </c>
      <c r="J20">
        <f t="shared" si="2"/>
        <v>2.26312625250501</v>
      </c>
      <c r="K20">
        <f t="shared" si="3"/>
        <v>4.3034659245783011</v>
      </c>
      <c r="L20">
        <v>0</v>
      </c>
    </row>
    <row r="21" spans="1:12" x14ac:dyDescent="0.4">
      <c r="A21">
        <v>9</v>
      </c>
      <c r="B21">
        <f t="shared" si="4"/>
        <v>22.585170340681401</v>
      </c>
      <c r="C21">
        <f t="shared" si="5"/>
        <v>43.006825577222244</v>
      </c>
      <c r="D21">
        <f t="shared" si="8"/>
        <v>27.706351672470056</v>
      </c>
      <c r="E21">
        <f t="shared" si="6"/>
        <v>0.46494019547839305</v>
      </c>
      <c r="F21">
        <f t="shared" si="7"/>
        <v>89.990101223694523</v>
      </c>
      <c r="G21">
        <f t="shared" si="0"/>
        <v>31.141874775612234</v>
      </c>
      <c r="H21">
        <f t="shared" si="1"/>
        <v>248953.31107728518</v>
      </c>
      <c r="J21">
        <f t="shared" si="2"/>
        <v>2.2585170340681402</v>
      </c>
      <c r="K21">
        <f t="shared" si="3"/>
        <v>4.3006825577222241</v>
      </c>
      <c r="L21">
        <v>0</v>
      </c>
    </row>
    <row r="22" spans="1:12" x14ac:dyDescent="0.4">
      <c r="A22">
        <v>10</v>
      </c>
      <c r="B22">
        <f t="shared" si="4"/>
        <v>22.539078156312598</v>
      </c>
      <c r="C22">
        <f t="shared" si="5"/>
        <v>42.978975028670291</v>
      </c>
      <c r="D22">
        <f t="shared" si="8"/>
        <v>27.673461477390845</v>
      </c>
      <c r="E22">
        <f t="shared" si="6"/>
        <v>0.46443189518493966</v>
      </c>
      <c r="F22">
        <f t="shared" si="7"/>
        <v>89.987759608919262</v>
      </c>
      <c r="G22">
        <f t="shared" si="0"/>
        <v>31.157149065764209</v>
      </c>
      <c r="H22">
        <f t="shared" si="1"/>
        <v>201201.8823878915</v>
      </c>
      <c r="J22">
        <f t="shared" si="2"/>
        <v>2.2539078156312597</v>
      </c>
      <c r="K22">
        <f t="shared" si="3"/>
        <v>4.2978975028670288</v>
      </c>
      <c r="L22">
        <v>0</v>
      </c>
    </row>
    <row r="23" spans="1:12" x14ac:dyDescent="0.4">
      <c r="A23">
        <v>11</v>
      </c>
      <c r="B23">
        <f t="shared" si="4"/>
        <v>22.492985971943899</v>
      </c>
      <c r="C23">
        <f t="shared" si="5"/>
        <v>42.951107703654465</v>
      </c>
      <c r="D23">
        <f t="shared" si="8"/>
        <v>27.640517973151123</v>
      </c>
      <c r="E23">
        <f t="shared" si="6"/>
        <v>0.46392261761320552</v>
      </c>
      <c r="F23">
        <f t="shared" si="7"/>
        <v>89.985165230246849</v>
      </c>
      <c r="G23">
        <f t="shared" si="0"/>
        <v>31.172323628547865</v>
      </c>
      <c r="H23">
        <f t="shared" si="1"/>
        <v>165910.95521279014</v>
      </c>
      <c r="J23">
        <f t="shared" si="2"/>
        <v>2.24929859719439</v>
      </c>
      <c r="K23">
        <f t="shared" si="3"/>
        <v>4.2951107703654463</v>
      </c>
      <c r="L23">
        <v>0</v>
      </c>
    </row>
    <row r="24" spans="1:12" x14ac:dyDescent="0.4">
      <c r="A24">
        <v>12</v>
      </c>
      <c r="B24">
        <f t="shared" si="4"/>
        <v>22.4468937875751</v>
      </c>
      <c r="C24">
        <f t="shared" si="5"/>
        <v>42.923223706353973</v>
      </c>
      <c r="D24">
        <f t="shared" si="8"/>
        <v>27.607520942003472</v>
      </c>
      <c r="E24">
        <f t="shared" si="6"/>
        <v>0.46341235881889248</v>
      </c>
      <c r="F24">
        <f t="shared" si="7"/>
        <v>89.982316858435041</v>
      </c>
      <c r="G24">
        <f t="shared" si="0"/>
        <v>31.187397958215783</v>
      </c>
      <c r="H24">
        <f t="shared" si="1"/>
        <v>139099.51497867247</v>
      </c>
      <c r="J24">
        <f t="shared" si="2"/>
        <v>2.24468937875751</v>
      </c>
      <c r="K24">
        <f t="shared" si="3"/>
        <v>4.2923223706353975</v>
      </c>
      <c r="L24">
        <v>0</v>
      </c>
    </row>
    <row r="25" spans="1:12" x14ac:dyDescent="0.4">
      <c r="A25">
        <v>13</v>
      </c>
      <c r="B25">
        <f t="shared" si="4"/>
        <v>22.4008016032064</v>
      </c>
      <c r="C25">
        <f t="shared" si="5"/>
        <v>42.895323141604351</v>
      </c>
      <c r="D25">
        <f t="shared" si="8"/>
        <v>27.574470165295281</v>
      </c>
      <c r="E25">
        <f t="shared" si="6"/>
        <v>0.46290111484012053</v>
      </c>
      <c r="F25">
        <f t="shared" si="7"/>
        <v>89.979213255586544</v>
      </c>
      <c r="G25">
        <f t="shared" si="0"/>
        <v>31.202371545145631</v>
      </c>
      <c r="H25">
        <f t="shared" si="1"/>
        <v>118257.40769582795</v>
      </c>
      <c r="J25">
        <f t="shared" si="2"/>
        <v>2.2400801603206402</v>
      </c>
      <c r="K25">
        <f t="shared" si="3"/>
        <v>4.2895323141604349</v>
      </c>
      <c r="L25">
        <v>0</v>
      </c>
    </row>
    <row r="26" spans="1:12" x14ac:dyDescent="0.4">
      <c r="A26">
        <v>14</v>
      </c>
      <c r="B26">
        <f t="shared" si="4"/>
        <v>22.3547094188377</v>
      </c>
      <c r="C26">
        <f t="shared" si="5"/>
        <v>42.867406114901911</v>
      </c>
      <c r="D26">
        <f t="shared" si="8"/>
        <v>27.541365423464921</v>
      </c>
      <c r="E26">
        <f t="shared" si="6"/>
        <v>0.46238888169734987</v>
      </c>
      <c r="F26">
        <f t="shared" si="7"/>
        <v>89.975853175087479</v>
      </c>
      <c r="G26">
        <f t="shared" si="0"/>
        <v>31.217243875811278</v>
      </c>
      <c r="H26">
        <f t="shared" si="1"/>
        <v>101738.47318634506</v>
      </c>
      <c r="J26">
        <f t="shared" si="2"/>
        <v>2.2354709418837699</v>
      </c>
      <c r="K26">
        <f t="shared" si="3"/>
        <v>4.2867406114901909</v>
      </c>
      <c r="L26">
        <v>0</v>
      </c>
    </row>
    <row r="27" spans="1:12" x14ac:dyDescent="0.4">
      <c r="A27">
        <v>15</v>
      </c>
      <c r="B27">
        <f t="shared" si="4"/>
        <v>22.308617234468901</v>
      </c>
      <c r="C27">
        <f t="shared" si="5"/>
        <v>42.839472732408247</v>
      </c>
      <c r="D27">
        <f t="shared" si="8"/>
        <v>27.508206496038916</v>
      </c>
      <c r="E27">
        <f t="shared" si="6"/>
        <v>0.46187565539331782</v>
      </c>
      <c r="F27">
        <f t="shared" si="7"/>
        <v>89.972235361545359</v>
      </c>
      <c r="G27">
        <f t="shared" si="0"/>
        <v>31.232014432753221</v>
      </c>
      <c r="H27">
        <f t="shared" si="1"/>
        <v>88426.873870902142</v>
      </c>
      <c r="J27">
        <f t="shared" si="2"/>
        <v>2.2308617234468899</v>
      </c>
      <c r="K27">
        <f t="shared" si="3"/>
        <v>4.283947273240825</v>
      </c>
      <c r="L27">
        <v>0</v>
      </c>
    </row>
    <row r="28" spans="1:12" x14ac:dyDescent="0.4">
      <c r="A28">
        <v>16</v>
      </c>
      <c r="B28">
        <f t="shared" si="4"/>
        <v>22.262525050100201</v>
      </c>
      <c r="C28">
        <f t="shared" si="5"/>
        <v>42.81152310095473</v>
      </c>
      <c r="D28">
        <f t="shared" si="8"/>
        <v>27.474993161629204</v>
      </c>
      <c r="E28">
        <f t="shared" si="6"/>
        <v>0.46136143191297746</v>
      </c>
      <c r="F28">
        <f t="shared" si="7"/>
        <v>89.968358550726734</v>
      </c>
      <c r="G28">
        <f t="shared" si="0"/>
        <v>31.246682694548767</v>
      </c>
      <c r="H28">
        <f t="shared" si="1"/>
        <v>77544.607271813977</v>
      </c>
      <c r="J28">
        <f t="shared" si="2"/>
        <v>2.2262525050100201</v>
      </c>
      <c r="K28">
        <f t="shared" si="3"/>
        <v>4.2811523100954734</v>
      </c>
      <c r="L28">
        <v>0</v>
      </c>
    </row>
    <row r="29" spans="1:12" x14ac:dyDescent="0.4">
      <c r="A29">
        <v>17</v>
      </c>
      <c r="B29">
        <f t="shared" si="4"/>
        <v>22.216432865731498</v>
      </c>
      <c r="C29">
        <f t="shared" si="5"/>
        <v>42.78355732804706</v>
      </c>
      <c r="D29">
        <f t="shared" si="8"/>
        <v>27.441725197929397</v>
      </c>
      <c r="E29">
        <f t="shared" si="6"/>
        <v>0.46084620722342057</v>
      </c>
      <c r="F29">
        <f t="shared" si="7"/>
        <v>89.964221469494362</v>
      </c>
      <c r="G29">
        <f t="shared" si="0"/>
        <v>31.261248135782481</v>
      </c>
      <c r="H29">
        <f t="shared" si="1"/>
        <v>68535.844974509819</v>
      </c>
      <c r="J29">
        <f t="shared" si="2"/>
        <v>2.2216432865731499</v>
      </c>
      <c r="K29">
        <f t="shared" si="3"/>
        <v>4.2783557328047062</v>
      </c>
      <c r="L29">
        <v>0</v>
      </c>
    </row>
    <row r="30" spans="1:12" x14ac:dyDescent="0.4">
      <c r="A30">
        <v>18</v>
      </c>
      <c r="B30">
        <f t="shared" si="4"/>
        <v>22.170340681362699</v>
      </c>
      <c r="C30">
        <f t="shared" si="5"/>
        <v>42.755575521869808</v>
      </c>
      <c r="D30">
        <f t="shared" si="8"/>
        <v>27.408402381712065</v>
      </c>
      <c r="E30">
        <f t="shared" si="6"/>
        <v>0.46032997727381669</v>
      </c>
      <c r="F30">
        <f t="shared" si="7"/>
        <v>89.959822835743935</v>
      </c>
      <c r="G30">
        <f t="shared" si="0"/>
        <v>31.275710227015935</v>
      </c>
      <c r="H30">
        <f t="shared" si="1"/>
        <v>60994.956048562337</v>
      </c>
      <c r="J30">
        <f t="shared" si="2"/>
        <v>2.2170340681362699</v>
      </c>
      <c r="K30">
        <f t="shared" si="3"/>
        <v>4.2755575521869806</v>
      </c>
      <c r="L30">
        <v>0</v>
      </c>
    </row>
    <row r="31" spans="1:12" x14ac:dyDescent="0.4">
      <c r="A31">
        <v>19</v>
      </c>
      <c r="B31">
        <f t="shared" si="4"/>
        <v>22.124248496993999</v>
      </c>
      <c r="C31">
        <f t="shared" si="5"/>
        <v>42.727577791291033</v>
      </c>
      <c r="D31">
        <f t="shared" si="8"/>
        <v>27.37502448882595</v>
      </c>
      <c r="E31">
        <f t="shared" si="6"/>
        <v>0.45981273799535027</v>
      </c>
      <c r="F31">
        <f t="shared" si="7"/>
        <v>89.955161358340504</v>
      </c>
      <c r="G31">
        <f t="shared" si="0"/>
        <v>31.290068434757277</v>
      </c>
      <c r="H31">
        <f t="shared" si="1"/>
        <v>54620.329856053751</v>
      </c>
      <c r="J31">
        <f t="shared" si="2"/>
        <v>2.2124248496994001</v>
      </c>
      <c r="K31">
        <f t="shared" si="3"/>
        <v>4.2727577791291029</v>
      </c>
      <c r="L31">
        <v>0</v>
      </c>
    </row>
    <row r="32" spans="1:12" x14ac:dyDescent="0.4">
      <c r="A32">
        <v>20</v>
      </c>
      <c r="B32">
        <f t="shared" si="4"/>
        <v>22.0781563126253</v>
      </c>
      <c r="C32">
        <f t="shared" si="5"/>
        <v>42.699564245866867</v>
      </c>
      <c r="D32">
        <f t="shared" si="8"/>
        <v>27.341591294192352</v>
      </c>
      <c r="E32">
        <f t="shared" si="6"/>
        <v>0.45929448530114575</v>
      </c>
      <c r="F32">
        <f t="shared" si="7"/>
        <v>89.950235737054228</v>
      </c>
      <c r="G32">
        <f t="shared" si="0"/>
        <v>31.304322221430937</v>
      </c>
      <c r="H32">
        <f t="shared" si="1"/>
        <v>49183.947705226732</v>
      </c>
      <c r="J32">
        <f t="shared" si="2"/>
        <v>2.2078156312625299</v>
      </c>
      <c r="K32">
        <f t="shared" si="3"/>
        <v>4.2699564245866863</v>
      </c>
      <c r="L32">
        <v>0</v>
      </c>
    </row>
    <row r="33" spans="1:12" x14ac:dyDescent="0.4">
      <c r="A33">
        <v>21</v>
      </c>
      <c r="B33">
        <f t="shared" si="4"/>
        <v>22.032064128256501</v>
      </c>
      <c r="C33">
        <f t="shared" si="5"/>
        <v>42.67153499584618</v>
      </c>
      <c r="D33">
        <f t="shared" si="8"/>
        <v>27.308102571802365</v>
      </c>
      <c r="E33">
        <f t="shared" si="6"/>
        <v>0.45877521508620567</v>
      </c>
      <c r="F33">
        <f t="shared" si="7"/>
        <v>89.945044662495931</v>
      </c>
      <c r="G33">
        <f t="shared" si="0"/>
        <v>31.318471045346783</v>
      </c>
      <c r="H33">
        <f t="shared" si="1"/>
        <v>44510.851929531855</v>
      </c>
      <c r="J33">
        <f t="shared" si="2"/>
        <v>2.2032064128256499</v>
      </c>
      <c r="K33">
        <f t="shared" si="3"/>
        <v>4.2671534995846176</v>
      </c>
      <c r="L33">
        <v>0</v>
      </c>
    </row>
    <row r="34" spans="1:12" x14ac:dyDescent="0.4">
      <c r="A34">
        <v>22</v>
      </c>
      <c r="B34">
        <f t="shared" si="4"/>
        <v>21.985971943887801</v>
      </c>
      <c r="C34">
        <f t="shared" si="5"/>
        <v>42.643490152175239</v>
      </c>
      <c r="D34">
        <f t="shared" si="8"/>
        <v>27.274558094714212</v>
      </c>
      <c r="E34">
        <f t="shared" si="6"/>
        <v>0.45825492322734929</v>
      </c>
      <c r="F34">
        <f t="shared" si="7"/>
        <v>89.939586816052284</v>
      </c>
      <c r="G34">
        <f t="shared" si="0"/>
        <v>31.332514360669038</v>
      </c>
      <c r="H34">
        <f t="shared" si="1"/>
        <v>40464.997650909398</v>
      </c>
      <c r="J34">
        <f t="shared" si="2"/>
        <v>2.1985971943887801</v>
      </c>
      <c r="K34">
        <f t="shared" si="3"/>
        <v>4.2643490152175243</v>
      </c>
      <c r="L34">
        <v>0</v>
      </c>
    </row>
    <row r="35" spans="1:12" x14ac:dyDescent="0.4">
      <c r="A35">
        <v>23</v>
      </c>
      <c r="B35">
        <f t="shared" si="4"/>
        <v>21.939879759518998</v>
      </c>
      <c r="C35">
        <f t="shared" si="5"/>
        <v>42.615429826502407</v>
      </c>
      <c r="D35">
        <f t="shared" si="8"/>
        <v>27.240957635049501</v>
      </c>
      <c r="E35">
        <f t="shared" si="6"/>
        <v>0.45773360558313625</v>
      </c>
      <c r="F35">
        <f t="shared" si="7"/>
        <v>89.93386086982008</v>
      </c>
      <c r="G35">
        <f t="shared" si="0"/>
        <v>31.346451617385291</v>
      </c>
      <c r="H35">
        <f t="shared" si="1"/>
        <v>36939.316628231114</v>
      </c>
      <c r="J35">
        <f t="shared" si="2"/>
        <v>2.1939879759518996</v>
      </c>
      <c r="K35">
        <f t="shared" si="3"/>
        <v>4.2615429826502407</v>
      </c>
      <c r="L35">
        <v>0</v>
      </c>
    </row>
    <row r="36" spans="1:12" x14ac:dyDescent="0.4">
      <c r="A36">
        <v>24</v>
      </c>
      <c r="B36">
        <f t="shared" si="4"/>
        <v>21.893787575150299</v>
      </c>
      <c r="C36">
        <f t="shared" si="5"/>
        <v>42.587354131182842</v>
      </c>
      <c r="D36">
        <f t="shared" si="8"/>
        <v>27.207300963991095</v>
      </c>
      <c r="E36">
        <f t="shared" si="6"/>
        <v>0.45721125799381318</v>
      </c>
      <c r="F36">
        <f t="shared" si="7"/>
        <v>89.927865486540739</v>
      </c>
      <c r="G36">
        <f t="shared" si="0"/>
        <v>31.360282261274822</v>
      </c>
      <c r="H36">
        <f t="shared" si="1"/>
        <v>33848.618972542521</v>
      </c>
      <c r="J36">
        <f t="shared" si="2"/>
        <v>2.1893787575150299</v>
      </c>
      <c r="K36">
        <f t="shared" si="3"/>
        <v>4.2587354131182842</v>
      </c>
      <c r="L36">
        <v>0</v>
      </c>
    </row>
    <row r="37" spans="1:12" x14ac:dyDescent="0.4">
      <c r="A37">
        <v>25</v>
      </c>
      <c r="B37">
        <f t="shared" si="4"/>
        <v>21.847695390781599</v>
      </c>
      <c r="C37">
        <f t="shared" si="5"/>
        <v>42.559263179283278</v>
      </c>
      <c r="D37">
        <f t="shared" si="8"/>
        <v>27.173587851779391</v>
      </c>
      <c r="E37">
        <f t="shared" si="6"/>
        <v>0.45668787628123714</v>
      </c>
      <c r="F37">
        <f t="shared" si="7"/>
        <v>89.921599319533925</v>
      </c>
      <c r="G37">
        <f t="shared" si="0"/>
        <v>31.374005733877269</v>
      </c>
      <c r="H37">
        <f t="shared" si="1"/>
        <v>31124.443016626956</v>
      </c>
      <c r="J37">
        <f t="shared" si="2"/>
        <v>2.1847695390781601</v>
      </c>
      <c r="K37">
        <f t="shared" si="3"/>
        <v>4.2559263179283278</v>
      </c>
      <c r="L37">
        <v>0</v>
      </c>
    </row>
    <row r="38" spans="1:12" x14ac:dyDescent="0.4">
      <c r="A38">
        <v>26</v>
      </c>
      <c r="B38">
        <f t="shared" si="4"/>
        <v>21.8016032064128</v>
      </c>
      <c r="C38">
        <f t="shared" si="5"/>
        <v>42.531157084586759</v>
      </c>
      <c r="D38">
        <f t="shared" si="8"/>
        <v>27.139818067709701</v>
      </c>
      <c r="E38">
        <f t="shared" si="6"/>
        <v>0.45616345624881538</v>
      </c>
      <c r="F38">
        <f t="shared" si="7"/>
        <v>89.915061012630773</v>
      </c>
      <c r="G38">
        <f t="shared" si="0"/>
        <v>31.387621472460538</v>
      </c>
      <c r="H38">
        <f t="shared" si="1"/>
        <v>28711.26552394086</v>
      </c>
      <c r="J38">
        <f t="shared" si="2"/>
        <v>2.1801603206412801</v>
      </c>
      <c r="K38">
        <f t="shared" si="3"/>
        <v>4.2531157084586759</v>
      </c>
      <c r="L38">
        <v>0</v>
      </c>
    </row>
    <row r="39" spans="1:12" x14ac:dyDescent="0.4">
      <c r="A39">
        <v>27</v>
      </c>
      <c r="B39">
        <f t="shared" si="4"/>
        <v>21.7555110220441</v>
      </c>
      <c r="C39">
        <f t="shared" si="5"/>
        <v>42.503035961597483</v>
      </c>
      <c r="D39">
        <f t="shared" si="8"/>
        <v>27.105991380129634</v>
      </c>
      <c r="E39">
        <f t="shared" si="6"/>
        <v>0.45563799368144514</v>
      </c>
      <c r="F39">
        <f t="shared" si="7"/>
        <v>89.908249200106866</v>
      </c>
      <c r="G39">
        <f t="shared" si="0"/>
        <v>31.401128909988614</v>
      </c>
      <c r="H39">
        <f t="shared" si="1"/>
        <v>26563.676653240196</v>
      </c>
      <c r="J39">
        <f t="shared" si="2"/>
        <v>2.1755511022044098</v>
      </c>
      <c r="K39">
        <f t="shared" si="3"/>
        <v>4.250303596159748</v>
      </c>
      <c r="L39">
        <v>0</v>
      </c>
    </row>
    <row r="40" spans="1:12" x14ac:dyDescent="0.4">
      <c r="A40">
        <v>28</v>
      </c>
      <c r="B40">
        <f t="shared" si="4"/>
        <v>21.7094188376754</v>
      </c>
      <c r="C40">
        <f t="shared" si="5"/>
        <v>42.474899925545586</v>
      </c>
      <c r="D40">
        <f t="shared" si="8"/>
        <v>27.072107556435551</v>
      </c>
      <c r="E40">
        <f t="shared" si="6"/>
        <v>0.4551114843454393</v>
      </c>
      <c r="F40">
        <f t="shared" si="7"/>
        <v>89.901162506614597</v>
      </c>
      <c r="G40">
        <f t="shared" si="0"/>
        <v>31.414527475089521</v>
      </c>
      <c r="H40">
        <f t="shared" si="1"/>
        <v>24644.248939481189</v>
      </c>
      <c r="J40">
        <f t="shared" si="2"/>
        <v>2.17094188376754</v>
      </c>
      <c r="K40">
        <f t="shared" si="3"/>
        <v>4.2474899925545584</v>
      </c>
      <c r="L40">
        <v>0</v>
      </c>
    </row>
    <row r="41" spans="1:12" x14ac:dyDescent="0.4">
      <c r="A41">
        <v>29</v>
      </c>
      <c r="B41">
        <f t="shared" si="4"/>
        <v>21.663326653306601</v>
      </c>
      <c r="C41">
        <f t="shared" si="5"/>
        <v>42.446749092392018</v>
      </c>
      <c r="D41">
        <f t="shared" si="8"/>
        <v>27.03816636306998</v>
      </c>
      <c r="E41">
        <f t="shared" si="6"/>
        <v>0.45458392398846648</v>
      </c>
      <c r="F41">
        <f t="shared" si="7"/>
        <v>89.893799547115179</v>
      </c>
      <c r="G41">
        <f t="shared" si="0"/>
        <v>31.427816592022602</v>
      </c>
      <c r="H41">
        <f t="shared" si="1"/>
        <v>22921.91210903454</v>
      </c>
      <c r="J41">
        <f t="shared" si="2"/>
        <v>2.16633266533066</v>
      </c>
      <c r="K41">
        <f t="shared" si="3"/>
        <v>4.244674909239202</v>
      </c>
      <c r="L41">
        <v>0</v>
      </c>
    </row>
    <row r="42" spans="1:12" x14ac:dyDescent="0.4">
      <c r="A42">
        <v>30</v>
      </c>
      <c r="B42">
        <f t="shared" si="4"/>
        <v>21.617234468937902</v>
      </c>
      <c r="C42">
        <f t="shared" si="5"/>
        <v>42.418583578833413</v>
      </c>
      <c r="D42">
        <f t="shared" si="8"/>
        <v>27.004167565519065</v>
      </c>
      <c r="E42">
        <f t="shared" si="6"/>
        <v>0.45405530833949204</v>
      </c>
      <c r="F42">
        <f t="shared" si="7"/>
        <v>89.886158926810225</v>
      </c>
      <c r="G42">
        <f t="shared" si="0"/>
        <v>31.440995680645578</v>
      </c>
      <c r="H42">
        <f t="shared" si="1"/>
        <v>21370.70105506642</v>
      </c>
      <c r="J42">
        <f t="shared" si="2"/>
        <v>2.1617234468937903</v>
      </c>
      <c r="K42">
        <f t="shared" si="3"/>
        <v>4.2418583578833413</v>
      </c>
      <c r="L42">
        <v>0</v>
      </c>
    </row>
    <row r="43" spans="1:12" x14ac:dyDescent="0.4">
      <c r="A43">
        <v>31</v>
      </c>
      <c r="B43">
        <f t="shared" si="4"/>
        <v>21.571142284569099</v>
      </c>
      <c r="C43">
        <f t="shared" si="5"/>
        <v>42.390403502307002</v>
      </c>
      <c r="D43">
        <f t="shared" si="8"/>
        <v>26.970110928308959</v>
      </c>
      <c r="E43">
        <f t="shared" si="6"/>
        <v>0.45352563310870236</v>
      </c>
      <c r="F43">
        <f t="shared" si="7"/>
        <v>89.878239241072734</v>
      </c>
      <c r="G43">
        <f t="shared" si="0"/>
        <v>31.454064156381889</v>
      </c>
      <c r="H43">
        <f t="shared" si="1"/>
        <v>19968.782195048829</v>
      </c>
      <c r="J43">
        <f t="shared" si="2"/>
        <v>2.1571142284569098</v>
      </c>
      <c r="K43">
        <f t="shared" si="3"/>
        <v>4.2390403502307006</v>
      </c>
      <c r="L43">
        <v>0</v>
      </c>
    </row>
    <row r="44" spans="1:12" x14ac:dyDescent="0.4">
      <c r="A44">
        <v>32</v>
      </c>
      <c r="B44">
        <f t="shared" si="4"/>
        <v>21.525050100200399</v>
      </c>
      <c r="C44">
        <f t="shared" si="5"/>
        <v>42.362208980995533</v>
      </c>
      <c r="D44">
        <f t="shared" si="8"/>
        <v>26.935996215003872</v>
      </c>
      <c r="E44">
        <f t="shared" si="6"/>
        <v>0.45299489398745496</v>
      </c>
      <c r="F44">
        <f t="shared" si="7"/>
        <v>89.870039075377875</v>
      </c>
      <c r="G44">
        <f t="shared" si="0"/>
        <v>31.467021430187003</v>
      </c>
      <c r="H44">
        <f t="shared" si="1"/>
        <v>18697.689673889483</v>
      </c>
      <c r="J44">
        <f t="shared" si="2"/>
        <v>2.15250501002004</v>
      </c>
      <c r="K44">
        <f t="shared" si="3"/>
        <v>4.2362208980995533</v>
      </c>
      <c r="L44">
        <v>0</v>
      </c>
    </row>
    <row r="45" spans="1:12" x14ac:dyDescent="0.4">
      <c r="A45">
        <v>33</v>
      </c>
      <c r="B45">
        <f t="shared" si="4"/>
        <v>21.4789579158317</v>
      </c>
      <c r="C45">
        <f t="shared" si="5"/>
        <v>42.334000133832248</v>
      </c>
      <c r="D45">
        <f t="shared" si="8"/>
        <v>26.901823188202439</v>
      </c>
      <c r="E45">
        <f t="shared" si="6"/>
        <v>0.45246308664820223</v>
      </c>
      <c r="F45">
        <f t="shared" si="7"/>
        <v>89.861557005233053</v>
      </c>
      <c r="G45">
        <f t="shared" si="0"/>
        <v>31.479866908515305</v>
      </c>
      <c r="H45">
        <f t="shared" si="1"/>
        <v>17541.721286989261</v>
      </c>
      <c r="J45">
        <f t="shared" si="2"/>
        <v>2.1478957915831698</v>
      </c>
      <c r="K45">
        <f t="shared" si="3"/>
        <v>4.2334000133832248</v>
      </c>
      <c r="L45">
        <v>0</v>
      </c>
    </row>
    <row r="46" spans="1:12" x14ac:dyDescent="0.4">
      <c r="A46">
        <v>34</v>
      </c>
      <c r="B46">
        <f t="shared" si="4"/>
        <v>21.432865731462901</v>
      </c>
      <c r="C46">
        <f t="shared" si="5"/>
        <v>42.305777080505855</v>
      </c>
      <c r="D46">
        <f t="shared" si="8"/>
        <v>26.867591609535321</v>
      </c>
      <c r="E46">
        <f t="shared" si="6"/>
        <v>0.4519302067444349</v>
      </c>
      <c r="F46">
        <f t="shared" si="7"/>
        <v>89.852791596107735</v>
      </c>
      <c r="G46">
        <f t="shared" si="0"/>
        <v>31.492599993286206</v>
      </c>
      <c r="H46">
        <f t="shared" si="1"/>
        <v>16487.457073827049</v>
      </c>
      <c r="J46">
        <f t="shared" si="2"/>
        <v>2.1432865731462902</v>
      </c>
      <c r="K46">
        <f t="shared" si="3"/>
        <v>4.2305777080505855</v>
      </c>
      <c r="L46">
        <v>0</v>
      </c>
    </row>
    <row r="47" spans="1:12" x14ac:dyDescent="0.4">
      <c r="A47">
        <v>35</v>
      </c>
      <c r="B47">
        <f t="shared" si="4"/>
        <v>21.386773547094201</v>
      </c>
      <c r="C47">
        <f t="shared" si="5"/>
        <v>42.277539941465548</v>
      </c>
      <c r="D47">
        <f t="shared" si="8"/>
        <v>26.833301239662724</v>
      </c>
      <c r="E47">
        <f t="shared" si="6"/>
        <v>0.45139624991062316</v>
      </c>
      <c r="F47">
        <f t="shared" si="7"/>
        <v>89.84374140336287</v>
      </c>
      <c r="G47">
        <f t="shared" si="0"/>
        <v>31.505220081850073</v>
      </c>
      <c r="H47">
        <f t="shared" si="1"/>
        <v>15523.372926039559</v>
      </c>
      <c r="J47">
        <f t="shared" si="2"/>
        <v>2.13867735470942</v>
      </c>
      <c r="K47">
        <f t="shared" si="3"/>
        <v>4.2277539941465552</v>
      </c>
      <c r="L47">
        <v>0</v>
      </c>
    </row>
    <row r="48" spans="1:12" x14ac:dyDescent="0.4">
      <c r="A48">
        <v>36</v>
      </c>
      <c r="B48">
        <f t="shared" si="4"/>
        <v>21.340681362725501</v>
      </c>
      <c r="C48">
        <f t="shared" si="5"/>
        <v>42.249288837926031</v>
      </c>
      <c r="D48">
        <f t="shared" si="8"/>
        <v>26.798951838271002</v>
      </c>
      <c r="E48">
        <f t="shared" si="6"/>
        <v>0.45086121176214461</v>
      </c>
      <c r="F48">
        <f t="shared" si="7"/>
        <v>89.834404972179414</v>
      </c>
      <c r="G48">
        <f t="shared" si="0"/>
        <v>31.517726566954206</v>
      </c>
      <c r="H48">
        <f t="shared" si="1"/>
        <v>14639.528374189813</v>
      </c>
      <c r="J48">
        <f t="shared" si="2"/>
        <v>2.1340681362725502</v>
      </c>
      <c r="K48">
        <f t="shared" si="3"/>
        <v>4.2249288837926029</v>
      </c>
      <c r="L48">
        <v>0</v>
      </c>
    </row>
    <row r="49" spans="1:12" x14ac:dyDescent="0.4">
      <c r="A49">
        <v>37</v>
      </c>
      <c r="B49">
        <f t="shared" si="4"/>
        <v>21.294589178356699</v>
      </c>
      <c r="C49">
        <f t="shared" si="5"/>
        <v>42.221023891872605</v>
      </c>
      <c r="D49">
        <f t="shared" si="8"/>
        <v>26.764543164070268</v>
      </c>
      <c r="E49">
        <f t="shared" si="6"/>
        <v>0.45032508789522735</v>
      </c>
      <c r="F49">
        <f t="shared" si="7"/>
        <v>89.824780837487125</v>
      </c>
      <c r="G49">
        <f t="shared" si="0"/>
        <v>31.530118836708429</v>
      </c>
      <c r="H49">
        <f t="shared" si="1"/>
        <v>13827.312719247804</v>
      </c>
      <c r="J49">
        <f t="shared" si="2"/>
        <v>2.1294589178356698</v>
      </c>
      <c r="K49">
        <f t="shared" si="3"/>
        <v>4.2221023891872607</v>
      </c>
      <c r="L49">
        <v>0</v>
      </c>
    </row>
    <row r="50" spans="1:12" x14ac:dyDescent="0.4">
      <c r="A50">
        <v>38</v>
      </c>
      <c r="B50">
        <f t="shared" si="4"/>
        <v>21.248496993987999</v>
      </c>
      <c r="C50">
        <f t="shared" si="5"/>
        <v>42.192745226066243</v>
      </c>
      <c r="D50">
        <f t="shared" si="8"/>
        <v>26.730074974792039</v>
      </c>
      <c r="E50">
        <f t="shared" si="6"/>
        <v>0.44978787388689323</v>
      </c>
      <c r="F50">
        <f t="shared" si="7"/>
        <v>89.814867523892289</v>
      </c>
      <c r="G50">
        <f t="shared" si="0"/>
        <v>31.542396274550125</v>
      </c>
      <c r="H50">
        <f t="shared" si="1"/>
        <v>13079.237377089452</v>
      </c>
      <c r="J50">
        <f t="shared" si="2"/>
        <v>2.1248496993988</v>
      </c>
      <c r="K50">
        <f t="shared" si="3"/>
        <v>4.2192745226066242</v>
      </c>
      <c r="L50">
        <v>0</v>
      </c>
    </row>
    <row r="51" spans="1:12" x14ac:dyDescent="0.4">
      <c r="A51">
        <v>39</v>
      </c>
      <c r="B51">
        <f t="shared" si="4"/>
        <v>21.2024048096192</v>
      </c>
      <c r="C51">
        <f t="shared" si="5"/>
        <v>42.164452964048735</v>
      </c>
      <c r="D51">
        <f t="shared" si="8"/>
        <v>26.695547027185746</v>
      </c>
      <c r="E51">
        <f t="shared" si="6"/>
        <v>0.4492495652948843</v>
      </c>
      <c r="F51">
        <f t="shared" si="7"/>
        <v>89.80466354560518</v>
      </c>
      <c r="G51">
        <f t="shared" si="0"/>
        <v>31.554558259209717</v>
      </c>
      <c r="H51">
        <f t="shared" si="1"/>
        <v>12388.76506964231</v>
      </c>
      <c r="J51">
        <f t="shared" si="2"/>
        <v>2.12024048096192</v>
      </c>
      <c r="K51">
        <f t="shared" si="3"/>
        <v>4.2164452964048733</v>
      </c>
      <c r="L51">
        <v>0</v>
      </c>
    </row>
    <row r="52" spans="1:12" x14ac:dyDescent="0.4">
      <c r="A52">
        <v>40</v>
      </c>
      <c r="B52">
        <f t="shared" si="4"/>
        <v>21.1563126252505</v>
      </c>
      <c r="C52">
        <f t="shared" si="5"/>
        <v>42.136147230147799</v>
      </c>
      <c r="D52">
        <f t="shared" si="8"/>
        <v>26.660959077017015</v>
      </c>
      <c r="E52">
        <f t="shared" si="6"/>
        <v>0.44871015765761579</v>
      </c>
      <c r="F52">
        <f t="shared" si="7"/>
        <v>89.794167406367251</v>
      </c>
      <c r="G52">
        <f t="shared" si="0"/>
        <v>31.56660416467512</v>
      </c>
      <c r="H52">
        <f t="shared" si="1"/>
        <v>11750.168578511391</v>
      </c>
      <c r="J52">
        <f t="shared" si="2"/>
        <v>2.1156312625250502</v>
      </c>
      <c r="K52">
        <f t="shared" si="3"/>
        <v>4.2136147230147802</v>
      </c>
      <c r="L52">
        <v>0</v>
      </c>
    </row>
    <row r="53" spans="1:12" x14ac:dyDescent="0.4">
      <c r="A53">
        <v>41</v>
      </c>
      <c r="B53">
        <f t="shared" si="4"/>
        <v>21.1102204408818</v>
      </c>
      <c r="C53">
        <f t="shared" si="5"/>
        <v>42.10782814948228</v>
      </c>
      <c r="D53">
        <f t="shared" si="8"/>
        <v>26.626310879064253</v>
      </c>
      <c r="E53">
        <f t="shared" si="6"/>
        <v>0.44816964649410351</v>
      </c>
      <c r="F53">
        <f t="shared" si="7"/>
        <v>89.783377599377616</v>
      </c>
      <c r="G53">
        <f t="shared" si="0"/>
        <v>31.578533360156683</v>
      </c>
      <c r="H53">
        <f t="shared" si="1"/>
        <v>11158.413357339641</v>
      </c>
      <c r="J53">
        <f t="shared" si="2"/>
        <v>2.1110220440881799</v>
      </c>
      <c r="K53">
        <f t="shared" si="3"/>
        <v>4.210782814948228</v>
      </c>
      <c r="L53">
        <v>0</v>
      </c>
    </row>
    <row r="54" spans="1:12" x14ac:dyDescent="0.4">
      <c r="A54">
        <v>42</v>
      </c>
      <c r="B54">
        <f t="shared" si="4"/>
        <v>21.064128256513001</v>
      </c>
      <c r="C54">
        <f t="shared" si="5"/>
        <v>42.079495847967344</v>
      </c>
      <c r="D54">
        <f t="shared" si="8"/>
        <v>26.591602187116415</v>
      </c>
      <c r="E54">
        <f t="shared" si="6"/>
        <v>0.44762802730390933</v>
      </c>
      <c r="F54">
        <f t="shared" si="7"/>
        <v>89.772292607219157</v>
      </c>
      <c r="G54">
        <f t="shared" si="0"/>
        <v>31.590345210051371</v>
      </c>
      <c r="H54">
        <f t="shared" si="1"/>
        <v>10609.059507695496</v>
      </c>
      <c r="J54">
        <f t="shared" si="2"/>
        <v>2.1064128256512999</v>
      </c>
      <c r="K54">
        <f t="shared" si="3"/>
        <v>4.2079495847967348</v>
      </c>
      <c r="L54">
        <v>0</v>
      </c>
    </row>
    <row r="55" spans="1:12" x14ac:dyDescent="0.4">
      <c r="A55">
        <v>43</v>
      </c>
      <c r="B55">
        <f t="shared" si="4"/>
        <v>21.018036072144302</v>
      </c>
      <c r="C55">
        <f t="shared" si="5"/>
        <v>42.051150452319703</v>
      </c>
      <c r="D55">
        <f t="shared" si="8"/>
        <v>26.55683275397071</v>
      </c>
      <c r="E55">
        <f t="shared" si="6"/>
        <v>0.44708529556708521</v>
      </c>
      <c r="F55">
        <f t="shared" si="7"/>
        <v>89.760910901784371</v>
      </c>
      <c r="G55">
        <f t="shared" si="0"/>
        <v>31.60203907390683</v>
      </c>
      <c r="H55">
        <f t="shared" si="1"/>
        <v>10098.17955385027</v>
      </c>
      <c r="J55">
        <f t="shared" si="2"/>
        <v>2.1018036072144302</v>
      </c>
      <c r="K55">
        <f t="shared" si="3"/>
        <v>4.2051150452319703</v>
      </c>
      <c r="L55">
        <v>0</v>
      </c>
    </row>
    <row r="56" spans="1:12" x14ac:dyDescent="0.4">
      <c r="A56">
        <v>44</v>
      </c>
      <c r="B56">
        <f t="shared" si="4"/>
        <v>20.971943887775598</v>
      </c>
      <c r="C56">
        <f t="shared" si="5"/>
        <v>42.022792090062872</v>
      </c>
      <c r="D56">
        <f t="shared" si="8"/>
        <v>26.522002331429462</v>
      </c>
      <c r="E56">
        <f t="shared" si="6"/>
        <v>0.44654144674410517</v>
      </c>
      <c r="F56">
        <f t="shared" si="7"/>
        <v>89.749230944200278</v>
      </c>
      <c r="G56">
        <f t="shared" si="0"/>
        <v>31.613614306385408</v>
      </c>
      <c r="H56">
        <f t="shared" si="1"/>
        <v>9622.2891731862437</v>
      </c>
      <c r="J56">
        <f t="shared" si="2"/>
        <v>2.0971943887775599</v>
      </c>
      <c r="K56">
        <f t="shared" si="3"/>
        <v>4.2022792090062868</v>
      </c>
      <c r="L56">
        <v>0</v>
      </c>
    </row>
    <row r="57" spans="1:12" x14ac:dyDescent="0.4">
      <c r="A57">
        <v>45</v>
      </c>
      <c r="B57">
        <f t="shared" si="4"/>
        <v>20.925851703406799</v>
      </c>
      <c r="C57">
        <f t="shared" si="5"/>
        <v>41.994420889532449</v>
      </c>
      <c r="D57">
        <f t="shared" si="8"/>
        <v>26.487110670297927</v>
      </c>
      <c r="E57">
        <f t="shared" si="6"/>
        <v>0.44599647627581079</v>
      </c>
      <c r="F57">
        <f t="shared" si="7"/>
        <v>89.737251184753362</v>
      </c>
      <c r="G57">
        <f t="shared" si="0"/>
        <v>31.625070257227719</v>
      </c>
      <c r="H57">
        <f t="shared" si="1"/>
        <v>9178.288601819575</v>
      </c>
      <c r="J57">
        <f t="shared" si="2"/>
        <v>2.0925851703406799</v>
      </c>
      <c r="K57">
        <f t="shared" si="3"/>
        <v>4.1994420889532451</v>
      </c>
      <c r="L57">
        <v>0</v>
      </c>
    </row>
    <row r="58" spans="1:12" x14ac:dyDescent="0.4">
      <c r="A58">
        <v>46</v>
      </c>
      <c r="B58">
        <f t="shared" si="4"/>
        <v>20.8797595190381</v>
      </c>
      <c r="C58">
        <f t="shared" si="5"/>
        <v>41.966036979881423</v>
      </c>
      <c r="D58">
        <f t="shared" si="8"/>
        <v>26.452157520382112</v>
      </c>
      <c r="E58">
        <f t="shared" si="6"/>
        <v>0.44545037958335804</v>
      </c>
      <c r="F58">
        <f t="shared" si="7"/>
        <v>89.724970062813966</v>
      </c>
      <c r="G58">
        <f t="shared" si="0"/>
        <v>31.636406271215925</v>
      </c>
      <c r="H58">
        <f t="shared" si="1"/>
        <v>8763.4128766732756</v>
      </c>
      <c r="J58">
        <f t="shared" si="2"/>
        <v>2.0879759519038101</v>
      </c>
      <c r="K58">
        <f t="shared" si="3"/>
        <v>4.1966036979881425</v>
      </c>
      <c r="L58">
        <v>0</v>
      </c>
    </row>
    <row r="59" spans="1:12" x14ac:dyDescent="0.4">
      <c r="A59">
        <v>47</v>
      </c>
      <c r="B59">
        <f t="shared" si="4"/>
        <v>20.8336673346693</v>
      </c>
      <c r="C59">
        <f t="shared" si="5"/>
        <v>41.937640491085503</v>
      </c>
      <c r="D59">
        <f t="shared" si="8"/>
        <v>26.417142630485614</v>
      </c>
      <c r="E59">
        <f t="shared" si="6"/>
        <v>0.44490315206814762</v>
      </c>
      <c r="F59">
        <f t="shared" si="7"/>
        <v>89.712386006759772</v>
      </c>
      <c r="G59">
        <f t="shared" si="0"/>
        <v>31.647621688137079</v>
      </c>
      <c r="H59">
        <f t="shared" si="1"/>
        <v>8375.1894239236917</v>
      </c>
      <c r="J59">
        <f t="shared" si="2"/>
        <v>2.0833667334669301</v>
      </c>
      <c r="K59">
        <f t="shared" si="3"/>
        <v>4.1937640491085499</v>
      </c>
      <c r="L59">
        <v>0</v>
      </c>
    </row>
    <row r="60" spans="1:12" x14ac:dyDescent="0.4">
      <c r="A60">
        <v>48</v>
      </c>
      <c r="B60">
        <f t="shared" si="4"/>
        <v>20.787575150300601</v>
      </c>
      <c r="C60">
        <f t="shared" si="5"/>
        <v>41.909231553948494</v>
      </c>
      <c r="D60">
        <f t="shared" si="8"/>
        <v>26.382065748408039</v>
      </c>
      <c r="E60">
        <f t="shared" si="6"/>
        <v>0.44435478911178089</v>
      </c>
      <c r="F60">
        <f t="shared" si="7"/>
        <v>89.699497433899623</v>
      </c>
      <c r="G60">
        <f t="shared" si="0"/>
        <v>31.658715842745792</v>
      </c>
      <c r="H60">
        <f t="shared" si="1"/>
        <v>8011.4017805232024</v>
      </c>
      <c r="J60">
        <f t="shared" si="2"/>
        <v>2.0787575150300599</v>
      </c>
      <c r="K60">
        <f t="shared" si="3"/>
        <v>4.1909231553948496</v>
      </c>
      <c r="L60">
        <v>0</v>
      </c>
    </row>
    <row r="61" spans="1:12" x14ac:dyDescent="0.4">
      <c r="A61">
        <v>49</v>
      </c>
      <c r="B61">
        <f t="shared" si="4"/>
        <v>20.741482965931901</v>
      </c>
      <c r="C61">
        <f t="shared" si="5"/>
        <v>41.880810300107676</v>
      </c>
      <c r="D61">
        <f t="shared" si="8"/>
        <v>26.34692662094189</v>
      </c>
      <c r="E61">
        <f t="shared" si="6"/>
        <v>0.44380528607599146</v>
      </c>
      <c r="F61">
        <f t="shared" si="7"/>
        <v>89.686302750395967</v>
      </c>
      <c r="G61">
        <f t="shared" si="0"/>
        <v>31.66968806472704</v>
      </c>
      <c r="H61">
        <f t="shared" si="1"/>
        <v>7670.0584562208378</v>
      </c>
      <c r="J61">
        <f t="shared" si="2"/>
        <v>2.0741482965931901</v>
      </c>
      <c r="K61">
        <f t="shared" si="3"/>
        <v>4.1880810300107676</v>
      </c>
      <c r="L61">
        <v>0</v>
      </c>
    </row>
    <row r="62" spans="1:12" x14ac:dyDescent="0.4">
      <c r="A62">
        <v>50</v>
      </c>
      <c r="B62">
        <f t="shared" si="4"/>
        <v>20.695390781563098</v>
      </c>
      <c r="C62">
        <f t="shared" si="5"/>
        <v>41.852376862039208</v>
      </c>
      <c r="D62">
        <f t="shared" si="8"/>
        <v>26.311724993870548</v>
      </c>
      <c r="E62">
        <f t="shared" si="6"/>
        <v>0.44325463830259393</v>
      </c>
      <c r="F62">
        <f t="shared" si="7"/>
        <v>89.67280035118759</v>
      </c>
      <c r="G62">
        <f t="shared" si="0"/>
        <v>31.680537678658521</v>
      </c>
      <c r="H62">
        <f t="shared" si="1"/>
        <v>7349.3661206605029</v>
      </c>
      <c r="J62">
        <f t="shared" si="2"/>
        <v>2.0695390781563097</v>
      </c>
      <c r="K62">
        <f t="shared" si="3"/>
        <v>4.1852376862039211</v>
      </c>
      <c r="L62">
        <v>0</v>
      </c>
    </row>
    <row r="63" spans="1:12" x14ac:dyDescent="0.4">
      <c r="A63">
        <v>51</v>
      </c>
      <c r="B63">
        <f t="shared" si="4"/>
        <v>20.649298597194399</v>
      </c>
      <c r="C63">
        <f t="shared" si="5"/>
        <v>41.823931373063594</v>
      </c>
      <c r="D63">
        <f t="shared" si="8"/>
        <v>26.2764606119663</v>
      </c>
      <c r="E63">
        <f t="shared" si="6"/>
        <v>0.442702841113433</v>
      </c>
      <c r="F63">
        <f t="shared" si="7"/>
        <v>89.658988619911597</v>
      </c>
      <c r="G63">
        <f t="shared" si="0"/>
        <v>31.691264003972648</v>
      </c>
      <c r="H63">
        <f t="shared" si="1"/>
        <v>7047.7064426904217</v>
      </c>
      <c r="J63">
        <f t="shared" si="2"/>
        <v>2.0649298597194399</v>
      </c>
      <c r="K63">
        <f t="shared" si="3"/>
        <v>4.1823931373063594</v>
      </c>
      <c r="L63">
        <v>0</v>
      </c>
    </row>
    <row r="64" spans="1:12" x14ac:dyDescent="0.4">
      <c r="A64">
        <v>52</v>
      </c>
      <c r="B64">
        <f t="shared" si="4"/>
        <v>20.603206412825699</v>
      </c>
      <c r="C64">
        <f t="shared" si="5"/>
        <v>41.795473967351128</v>
      </c>
      <c r="D64">
        <f t="shared" si="8"/>
        <v>26.24113321898739</v>
      </c>
      <c r="E64">
        <f t="shared" si="6"/>
        <v>0.44214988981031822</v>
      </c>
      <c r="F64">
        <f t="shared" si="7"/>
        <v>89.644865928824657</v>
      </c>
      <c r="G64">
        <f t="shared" si="0"/>
        <v>31.701866354918636</v>
      </c>
      <c r="H64">
        <f t="shared" si="1"/>
        <v>6763.6160245357623</v>
      </c>
      <c r="J64">
        <f t="shared" si="2"/>
        <v>2.0603206412825701</v>
      </c>
      <c r="K64">
        <f t="shared" si="3"/>
        <v>4.1795473967351127</v>
      </c>
      <c r="L64">
        <v>0</v>
      </c>
    </row>
    <row r="65" spans="1:12" x14ac:dyDescent="0.4">
      <c r="A65">
        <v>53</v>
      </c>
      <c r="B65">
        <f t="shared" si="4"/>
        <v>20.5571142284569</v>
      </c>
      <c r="C65">
        <f t="shared" si="5"/>
        <v>41.767004779927419</v>
      </c>
      <c r="D65">
        <f t="shared" si="8"/>
        <v>26.205742557676121</v>
      </c>
      <c r="E65">
        <f t="shared" si="6"/>
        <v>0.44159577967497426</v>
      </c>
      <c r="F65">
        <f t="shared" si="7"/>
        <v>89.630430638724349</v>
      </c>
      <c r="G65">
        <f t="shared" si="0"/>
        <v>31.712344040524115</v>
      </c>
      <c r="H65">
        <f t="shared" si="1"/>
        <v>6495.7689673400182</v>
      </c>
      <c r="J65">
        <f t="shared" si="2"/>
        <v>2.0557114228456901</v>
      </c>
      <c r="K65">
        <f t="shared" si="3"/>
        <v>4.1767004779927417</v>
      </c>
      <c r="L65">
        <v>0</v>
      </c>
    </row>
    <row r="66" spans="1:12" x14ac:dyDescent="0.4">
      <c r="A66">
        <v>54</v>
      </c>
      <c r="B66">
        <f t="shared" si="4"/>
        <v>20.5110220440882</v>
      </c>
      <c r="C66">
        <f t="shared" si="5"/>
        <v>41.738523946678875</v>
      </c>
      <c r="D66">
        <f t="shared" si="8"/>
        <v>26.170288369756992</v>
      </c>
      <c r="E66">
        <f t="shared" si="6"/>
        <v>0.44104050596899202</v>
      </c>
      <c r="F66">
        <f t="shared" si="7"/>
        <v>89.615681098869658</v>
      </c>
      <c r="G66">
        <f t="shared" si="0"/>
        <v>31.722696364556334</v>
      </c>
      <c r="H66">
        <f t="shared" si="1"/>
        <v>6242.9616811869428</v>
      </c>
      <c r="J66">
        <f t="shared" si="2"/>
        <v>2.0511022044088199</v>
      </c>
      <c r="K66">
        <f t="shared" si="3"/>
        <v>4.1738523946678878</v>
      </c>
      <c r="L66">
        <v>0</v>
      </c>
    </row>
    <row r="67" spans="1:12" x14ac:dyDescent="0.4">
      <c r="A67">
        <v>55</v>
      </c>
      <c r="B67">
        <f t="shared" si="4"/>
        <v>20.464929859719401</v>
      </c>
      <c r="C67">
        <f t="shared" si="5"/>
        <v>41.710031604358292</v>
      </c>
      <c r="D67">
        <f t="shared" si="8"/>
        <v>26.134770395933778</v>
      </c>
      <c r="E67">
        <f t="shared" si="6"/>
        <v>0.44048406393376371</v>
      </c>
      <c r="F67">
        <f t="shared" si="7"/>
        <v>89.600615646900948</v>
      </c>
      <c r="G67">
        <f t="shared" si="0"/>
        <v>31.732922625483585</v>
      </c>
      <c r="H67">
        <f t="shared" si="1"/>
        <v>6004.0996155442162</v>
      </c>
      <c r="J67">
        <f t="shared" si="2"/>
        <v>2.0464929859719403</v>
      </c>
      <c r="K67">
        <f t="shared" si="3"/>
        <v>4.1710031604358289</v>
      </c>
      <c r="L67">
        <v>0</v>
      </c>
    </row>
    <row r="68" spans="1:12" x14ac:dyDescent="0.4">
      <c r="A68">
        <v>56</v>
      </c>
      <c r="B68">
        <f t="shared" si="4"/>
        <v>20.418837675350701</v>
      </c>
      <c r="C68">
        <f t="shared" si="5"/>
        <v>41.681527890590395</v>
      </c>
      <c r="D68">
        <f t="shared" si="8"/>
        <v>26.099188375888282</v>
      </c>
      <c r="E68">
        <f t="shared" si="6"/>
        <v>0.43992644879044313</v>
      </c>
      <c r="F68">
        <f t="shared" si="7"/>
        <v>89.58523260875991</v>
      </c>
      <c r="G68">
        <f t="shared" si="0"/>
        <v>31.743022116435814</v>
      </c>
      <c r="H68">
        <f t="shared" si="1"/>
        <v>5778.1856377536624</v>
      </c>
      <c r="J68">
        <f t="shared" si="2"/>
        <v>2.0418837675350701</v>
      </c>
      <c r="K68">
        <f t="shared" si="3"/>
        <v>4.1681527890590395</v>
      </c>
      <c r="L68">
        <v>0</v>
      </c>
    </row>
    <row r="69" spans="1:12" x14ac:dyDescent="0.4">
      <c r="A69">
        <v>57</v>
      </c>
      <c r="B69">
        <f t="shared" si="4"/>
        <v>20.372745490981998</v>
      </c>
      <c r="C69">
        <f t="shared" si="5"/>
        <v>41.653012943877464</v>
      </c>
      <c r="D69">
        <f t="shared" si="8"/>
        <v>26.06354204827749</v>
      </c>
      <c r="E69">
        <f t="shared" si="6"/>
        <v>0.43936765573988185</v>
      </c>
      <c r="F69">
        <f t="shared" si="7"/>
        <v>89.56953029860837</v>
      </c>
      <c r="G69">
        <f t="shared" si="0"/>
        <v>31.75299412516544</v>
      </c>
      <c r="H69">
        <f t="shared" si="1"/>
        <v>5564.3098298582772</v>
      </c>
      <c r="J69">
        <f t="shared" si="2"/>
        <v>2.0372745490981998</v>
      </c>
      <c r="K69">
        <f t="shared" si="3"/>
        <v>4.1653012943877465</v>
      </c>
      <c r="L69">
        <v>0</v>
      </c>
    </row>
    <row r="70" spans="1:12" x14ac:dyDescent="0.4">
      <c r="A70">
        <v>58</v>
      </c>
      <c r="B70">
        <f t="shared" si="4"/>
        <v>20.326653306613199</v>
      </c>
      <c r="C70">
        <f t="shared" si="5"/>
        <v>41.624486903604954</v>
      </c>
      <c r="D70">
        <f t="shared" si="8"/>
        <v>26.02783115073187</v>
      </c>
      <c r="E70">
        <f t="shared" si="6"/>
        <v>0.43880767996258285</v>
      </c>
      <c r="F70">
        <f t="shared" si="7"/>
        <v>89.553507018747297</v>
      </c>
      <c r="G70">
        <f t="shared" si="0"/>
        <v>31.762837934007713</v>
      </c>
      <c r="H70">
        <f t="shared" si="1"/>
        <v>5361.6405094709853</v>
      </c>
      <c r="J70">
        <f t="shared" si="2"/>
        <v>2.0326653306613198</v>
      </c>
      <c r="K70">
        <f t="shared" si="3"/>
        <v>4.1624486903604954</v>
      </c>
      <c r="L70">
        <v>0</v>
      </c>
    </row>
    <row r="71" spans="1:12" x14ac:dyDescent="0.4">
      <c r="A71">
        <v>59</v>
      </c>
      <c r="B71">
        <f t="shared" si="4"/>
        <v>20.280561122244499</v>
      </c>
      <c r="C71">
        <f t="shared" si="5"/>
        <v>41.595949910047146</v>
      </c>
      <c r="D71">
        <f t="shared" si="8"/>
        <v>25.992055419853706</v>
      </c>
      <c r="E71">
        <f t="shared" si="6"/>
        <v>0.4382465166186551</v>
      </c>
      <c r="F71">
        <f t="shared" si="7"/>
        <v>89.537161059535066</v>
      </c>
      <c r="G71">
        <f t="shared" si="0"/>
        <v>31.77255281984068</v>
      </c>
      <c r="H71">
        <f t="shared" si="1"/>
        <v>5169.4163097937571</v>
      </c>
      <c r="J71">
        <f t="shared" si="2"/>
        <v>2.02805611222445</v>
      </c>
      <c r="K71">
        <f t="shared" si="3"/>
        <v>4.159594991004715</v>
      </c>
      <c r="L71">
        <v>0</v>
      </c>
    </row>
    <row r="72" spans="1:12" x14ac:dyDescent="0.4">
      <c r="A72">
        <v>60</v>
      </c>
      <c r="B72">
        <f t="shared" si="4"/>
        <v>20.2344689378758</v>
      </c>
      <c r="C72">
        <f t="shared" si="5"/>
        <v>41.567402104372839</v>
      </c>
      <c r="D72">
        <f t="shared" si="8"/>
        <v>25.95621459121449</v>
      </c>
      <c r="E72">
        <f t="shared" si="6"/>
        <v>0.43768416084775286</v>
      </c>
      <c r="F72">
        <f t="shared" si="7"/>
        <v>89.520490699305086</v>
      </c>
      <c r="G72">
        <f t="shared" si="0"/>
        <v>31.782138054045298</v>
      </c>
      <c r="H72">
        <f t="shared" si="1"/>
        <v>4986.9391784665604</v>
      </c>
      <c r="J72">
        <f t="shared" si="2"/>
        <v>2.0234468937875798</v>
      </c>
      <c r="K72">
        <f t="shared" si="3"/>
        <v>4.1567402104372837</v>
      </c>
      <c r="L72">
        <v>0</v>
      </c>
    </row>
    <row r="73" spans="1:12" x14ac:dyDescent="0.4">
      <c r="A73">
        <v>61</v>
      </c>
      <c r="B73">
        <f t="shared" si="4"/>
        <v>20.188376753507001</v>
      </c>
      <c r="C73">
        <f t="shared" si="5"/>
        <v>41.538843628651044</v>
      </c>
      <c r="D73">
        <f t="shared" si="8"/>
        <v>25.920308399353345</v>
      </c>
      <c r="E73">
        <f t="shared" si="6"/>
        <v>0.4371206077690315</v>
      </c>
      <c r="F73">
        <f t="shared" si="7"/>
        <v>89.503494204283143</v>
      </c>
      <c r="G73">
        <f t="shared" si="0"/>
        <v>31.791592902464899</v>
      </c>
      <c r="H73">
        <f t="shared" si="1"/>
        <v>4813.5681754969955</v>
      </c>
      <c r="J73">
        <f t="shared" si="2"/>
        <v>2.0188376753507002</v>
      </c>
      <c r="K73">
        <f t="shared" si="3"/>
        <v>4.1538843628651048</v>
      </c>
      <c r="L73">
        <v>0</v>
      </c>
    </row>
    <row r="74" spans="1:12" x14ac:dyDescent="0.4">
      <c r="A74">
        <v>62</v>
      </c>
      <c r="B74">
        <f t="shared" si="4"/>
        <v>20.142284569138301</v>
      </c>
      <c r="C74">
        <f t="shared" si="5"/>
        <v>41.510274625856738</v>
      </c>
      <c r="D74">
        <f t="shared" si="8"/>
        <v>25.884336577775514</v>
      </c>
      <c r="E74">
        <f t="shared" si="6"/>
        <v>0.43655585248110451</v>
      </c>
      <c r="F74">
        <f t="shared" si="7"/>
        <v>89.486169828504501</v>
      </c>
      <c r="G74">
        <f t="shared" si="0"/>
        <v>31.800916625364493</v>
      </c>
      <c r="H74">
        <f t="shared" si="1"/>
        <v>4648.7139677826572</v>
      </c>
      <c r="J74">
        <f t="shared" si="2"/>
        <v>2.01422845691383</v>
      </c>
      <c r="K74">
        <f t="shared" si="3"/>
        <v>4.1510274625856738</v>
      </c>
      <c r="L74">
        <v>0</v>
      </c>
    </row>
    <row r="75" spans="1:12" x14ac:dyDescent="0.4">
      <c r="A75">
        <v>63</v>
      </c>
      <c r="B75">
        <f t="shared" si="4"/>
        <v>20.096192384769498</v>
      </c>
      <c r="C75">
        <f t="shared" si="5"/>
        <v>41.481695239876608</v>
      </c>
      <c r="D75">
        <f t="shared" si="8"/>
        <v>25.84829885894974</v>
      </c>
      <c r="E75">
        <f t="shared" si="6"/>
        <v>0.43598989006198291</v>
      </c>
      <c r="F75">
        <f t="shared" si="7"/>
        <v>89.468515813729937</v>
      </c>
      <c r="G75">
        <f t="shared" si="0"/>
        <v>31.810108477390099</v>
      </c>
      <c r="H75">
        <f t="shared" si="1"/>
        <v>4491.8339322780284</v>
      </c>
      <c r="J75">
        <f t="shared" si="2"/>
        <v>2.00961923847695</v>
      </c>
      <c r="K75">
        <f t="shared" si="3"/>
        <v>4.1481695239876606</v>
      </c>
      <c r="L75">
        <v>0</v>
      </c>
    </row>
    <row r="76" spans="1:12" x14ac:dyDescent="0.4">
      <c r="A76">
        <v>64</v>
      </c>
      <c r="B76">
        <f t="shared" si="4"/>
        <v>20.050100200400799</v>
      </c>
      <c r="C76">
        <f t="shared" si="5"/>
        <v>41.453105615514836</v>
      </c>
      <c r="D76">
        <f t="shared" si="8"/>
        <v>25.812194974307449</v>
      </c>
      <c r="E76">
        <f t="shared" si="6"/>
        <v>0.43542271556904311</v>
      </c>
      <c r="F76">
        <f t="shared" si="7"/>
        <v>89.450530389362129</v>
      </c>
      <c r="G76">
        <f t="shared" ref="G76:G139" si="9">IFERROR((-D76+F76)/2,IF($B$2-1=A76,G75,NA()))</f>
        <v>31.819167707527342</v>
      </c>
      <c r="H76">
        <f t="shared" ref="H76:H139" si="10">IF(A76="",NA(),B76+TAN(RADIANS(F76))*C76)</f>
        <v>4342.4277921732182</v>
      </c>
      <c r="J76">
        <f t="shared" ref="J76:J139" si="11">IF(A76="",NA(),B76/10)</f>
        <v>2.0050100200400798</v>
      </c>
      <c r="K76">
        <f t="shared" ref="K76:K139" si="12">IF(A76="",NA(),C76/10)</f>
        <v>4.1453105615514838</v>
      </c>
      <c r="L76">
        <v>0</v>
      </c>
    </row>
    <row r="77" spans="1:12" x14ac:dyDescent="0.4">
      <c r="A77">
        <v>65</v>
      </c>
      <c r="B77">
        <f t="shared" ref="B77:B140" si="13">IFERROR(ROUND(-$B$6*(A77/($B$2-1)-1),20),IF($B$2-1=A77,0,NA()))</f>
        <v>20.004008016032099</v>
      </c>
      <c r="C77">
        <f t="shared" ref="C77:C140" si="14">IFERROR(C76-TAN(RADIANS(G76))*$B$3,IF($B$2-1=A77,C76,NA()))</f>
        <v>41.424505898498929</v>
      </c>
      <c r="D77">
        <f t="shared" si="8"/>
        <v>25.776024654240196</v>
      </c>
      <c r="E77">
        <f t="shared" ref="E77:E140" si="15">IF(A77="",NA(),SIN(RADIANS(D77)))</f>
        <v>0.43485432403896723</v>
      </c>
      <c r="F77">
        <f t="shared" ref="F77:F140" si="16">IF(A77="", NA(), 180-MEDIAN(90, 180, $F$4*D77^2 - ((90+$F$4*$B$4^2)/$B$4)*D77 + 180))</f>
        <v>89.432211772360617</v>
      </c>
      <c r="G77">
        <f t="shared" si="9"/>
        <v>31.828093559060211</v>
      </c>
      <c r="H77">
        <f t="shared" si="10"/>
        <v>4200.0337208258034</v>
      </c>
      <c r="J77">
        <f t="shared" si="11"/>
        <v>2.00040080160321</v>
      </c>
      <c r="K77">
        <f t="shared" si="12"/>
        <v>4.1424505898498927</v>
      </c>
      <c r="L77">
        <v>0</v>
      </c>
    </row>
    <row r="78" spans="1:12" x14ac:dyDescent="0.4">
      <c r="A78">
        <v>66</v>
      </c>
      <c r="B78">
        <f t="shared" si="13"/>
        <v>19.9579158316633</v>
      </c>
      <c r="C78">
        <f t="shared" si="14"/>
        <v>41.395896235485544</v>
      </c>
      <c r="D78">
        <f t="shared" ref="D78:D141" si="17">IF(A78="",NA(),DEGREES(ATAN(B78/C78)))</f>
        <v>25.73978762809837</v>
      </c>
      <c r="E78">
        <f t="shared" si="15"/>
        <v>0.43428471048770395</v>
      </c>
      <c r="F78">
        <f t="shared" si="16"/>
        <v>89.413558167157191</v>
      </c>
      <c r="G78">
        <f t="shared" si="9"/>
        <v>31.836885269529411</v>
      </c>
      <c r="H78">
        <f t="shared" si="10"/>
        <v>4064.2248570691349</v>
      </c>
      <c r="J78">
        <f t="shared" si="11"/>
        <v>1.99579158316633</v>
      </c>
      <c r="K78">
        <f t="shared" si="12"/>
        <v>4.1395896235485541</v>
      </c>
      <c r="L78">
        <v>0</v>
      </c>
    </row>
    <row r="79" spans="1:12" x14ac:dyDescent="0.4">
      <c r="A79">
        <v>67</v>
      </c>
      <c r="B79">
        <f t="shared" si="13"/>
        <v>19.9118236472946</v>
      </c>
      <c r="C79">
        <f t="shared" si="14"/>
        <v>41.367276774066355</v>
      </c>
      <c r="D79">
        <f t="shared" si="17"/>
        <v>25.703483624189918</v>
      </c>
      <c r="E79">
        <f t="shared" si="15"/>
        <v>0.43371386991042882</v>
      </c>
      <c r="F79">
        <f t="shared" si="16"/>
        <v>89.394567765570471</v>
      </c>
      <c r="G79">
        <f t="shared" si="9"/>
        <v>31.845542070690279</v>
      </c>
      <c r="H79">
        <f t="shared" si="10"/>
        <v>3934.6061830210747</v>
      </c>
      <c r="J79">
        <f t="shared" si="11"/>
        <v>1.99118236472946</v>
      </c>
      <c r="K79">
        <f t="shared" si="12"/>
        <v>4.1367276774066353</v>
      </c>
      <c r="L79">
        <v>0</v>
      </c>
    </row>
    <row r="80" spans="1:12" x14ac:dyDescent="0.4">
      <c r="A80">
        <v>68</v>
      </c>
      <c r="B80">
        <f t="shared" si="13"/>
        <v>19.865731462925901</v>
      </c>
      <c r="C80">
        <f t="shared" si="14"/>
        <v>41.338647662773944</v>
      </c>
      <c r="D80">
        <f t="shared" si="17"/>
        <v>25.667112369778103</v>
      </c>
      <c r="E80">
        <f t="shared" si="15"/>
        <v>0.43314179728149005</v>
      </c>
      <c r="F80">
        <f t="shared" si="16"/>
        <v>89.375238746719631</v>
      </c>
      <c r="G80">
        <f t="shared" si="9"/>
        <v>31.854063188470764</v>
      </c>
      <c r="H80">
        <f t="shared" si="10"/>
        <v>3810.8117219620094</v>
      </c>
      <c r="J80">
        <f t="shared" si="11"/>
        <v>1.98657314629259</v>
      </c>
      <c r="K80">
        <f t="shared" si="12"/>
        <v>4.1338647662773944</v>
      </c>
      <c r="L80">
        <v>0</v>
      </c>
    </row>
    <row r="81" spans="1:12" x14ac:dyDescent="0.4">
      <c r="A81">
        <v>69</v>
      </c>
      <c r="B81">
        <f t="shared" si="13"/>
        <v>19.819639278557101</v>
      </c>
      <c r="C81">
        <f t="shared" si="14"/>
        <v>41.310009051087718</v>
      </c>
      <c r="D81">
        <f t="shared" si="17"/>
        <v>25.630673591080338</v>
      </c>
      <c r="E81">
        <f t="shared" si="15"/>
        <v>0.432568487554371</v>
      </c>
      <c r="F81">
        <f t="shared" si="16"/>
        <v>89.355569276938311</v>
      </c>
      <c r="G81">
        <f t="shared" si="9"/>
        <v>31.862447842928987</v>
      </c>
      <c r="H81">
        <f t="shared" si="10"/>
        <v>3692.5020193602518</v>
      </c>
      <c r="J81">
        <f t="shared" si="11"/>
        <v>1.9819639278557102</v>
      </c>
      <c r="K81">
        <f t="shared" si="12"/>
        <v>4.1310009051087722</v>
      </c>
      <c r="L81">
        <v>0</v>
      </c>
    </row>
    <row r="82" spans="1:12" x14ac:dyDescent="0.4">
      <c r="A82">
        <v>70</v>
      </c>
      <c r="B82">
        <f t="shared" si="13"/>
        <v>19.773547094188402</v>
      </c>
      <c r="C82">
        <f t="shared" si="14"/>
        <v>41.281361089439855</v>
      </c>
      <c r="D82">
        <f t="shared" si="17"/>
        <v>25.594167013267068</v>
      </c>
      <c r="E82">
        <f t="shared" si="15"/>
        <v>0.43199393566165362</v>
      </c>
      <c r="F82">
        <f t="shared" si="16"/>
        <v>89.335557509687888</v>
      </c>
      <c r="G82">
        <f t="shared" si="9"/>
        <v>31.87069524821041</v>
      </c>
      <c r="H82">
        <f t="shared" si="10"/>
        <v>3579.3618748331537</v>
      </c>
      <c r="J82">
        <f t="shared" si="11"/>
        <v>1.9773547094188402</v>
      </c>
      <c r="K82">
        <f t="shared" si="12"/>
        <v>4.1281361089439859</v>
      </c>
      <c r="L82">
        <v>0</v>
      </c>
    </row>
    <row r="83" spans="1:12" x14ac:dyDescent="0.4">
      <c r="A83">
        <v>71</v>
      </c>
      <c r="B83">
        <f t="shared" si="13"/>
        <v>19.727454909819599</v>
      </c>
      <c r="C83">
        <f t="shared" si="14"/>
        <v>41.252703929221255</v>
      </c>
      <c r="D83">
        <f t="shared" si="17"/>
        <v>25.557592360459612</v>
      </c>
      <c r="E83">
        <f t="shared" si="15"/>
        <v>0.43141813651496536</v>
      </c>
      <c r="F83">
        <f t="shared" si="16"/>
        <v>89.315201585469808</v>
      </c>
      <c r="G83">
        <f t="shared" si="9"/>
        <v>31.8788046125051</v>
      </c>
      <c r="H83">
        <f t="shared" si="10"/>
        <v>3471.0982968974577</v>
      </c>
      <c r="J83">
        <f t="shared" si="11"/>
        <v>1.9727454909819599</v>
      </c>
      <c r="K83">
        <f t="shared" si="12"/>
        <v>4.1252703929221255</v>
      </c>
      <c r="L83">
        <v>0</v>
      </c>
    </row>
    <row r="84" spans="1:12" x14ac:dyDescent="0.4">
      <c r="A84">
        <v>72</v>
      </c>
      <c r="B84">
        <f t="shared" si="13"/>
        <v>19.681362725450899</v>
      </c>
      <c r="C84">
        <f t="shared" si="14"/>
        <v>41.22403772278755</v>
      </c>
      <c r="D84">
        <f t="shared" si="17"/>
        <v>25.520949355729694</v>
      </c>
      <c r="E84">
        <f t="shared" si="15"/>
        <v>0.43084108500495299</v>
      </c>
      <c r="F84">
        <f t="shared" si="16"/>
        <v>89.294499631738347</v>
      </c>
      <c r="G84">
        <f t="shared" si="9"/>
        <v>31.886775138004325</v>
      </c>
      <c r="H84">
        <f t="shared" si="10"/>
        <v>3367.4386558723536</v>
      </c>
      <c r="J84">
        <f t="shared" si="11"/>
        <v>1.9681362725450899</v>
      </c>
      <c r="K84">
        <f t="shared" si="12"/>
        <v>4.122403772278755</v>
      </c>
      <c r="L84">
        <v>0</v>
      </c>
    </row>
    <row r="85" spans="1:12" x14ac:dyDescent="0.4">
      <c r="A85">
        <v>73</v>
      </c>
      <c r="B85">
        <f t="shared" si="13"/>
        <v>19.6352705410822</v>
      </c>
      <c r="C85">
        <f t="shared" si="14"/>
        <v>41.195362623465108</v>
      </c>
      <c r="D85">
        <f t="shared" si="17"/>
        <v>25.484237721097404</v>
      </c>
      <c r="E85">
        <f t="shared" si="15"/>
        <v>0.43026277600123175</v>
      </c>
      <c r="F85">
        <f t="shared" si="16"/>
        <v>89.273449762811978</v>
      </c>
      <c r="G85">
        <f t="shared" si="9"/>
        <v>31.894606020857289</v>
      </c>
      <c r="H85">
        <f t="shared" si="10"/>
        <v>3268.1290133043099</v>
      </c>
      <c r="J85">
        <f t="shared" si="11"/>
        <v>1.9635270541082199</v>
      </c>
      <c r="K85">
        <f t="shared" si="12"/>
        <v>4.1195362623465108</v>
      </c>
      <c r="L85">
        <v>0</v>
      </c>
    </row>
    <row r="86" spans="1:12" x14ac:dyDescent="0.4">
      <c r="A86">
        <v>74</v>
      </c>
      <c r="B86">
        <f t="shared" si="13"/>
        <v>19.589178356713401</v>
      </c>
      <c r="C86">
        <f t="shared" si="14"/>
        <v>41.166678785557096</v>
      </c>
      <c r="D86">
        <f t="shared" si="17"/>
        <v>25.447457177530296</v>
      </c>
      <c r="E86">
        <f t="shared" si="15"/>
        <v>0.42968320435235191</v>
      </c>
      <c r="F86">
        <f t="shared" si="16"/>
        <v>89.252050079784766</v>
      </c>
      <c r="G86">
        <f t="shared" si="9"/>
        <v>31.902296451127235</v>
      </c>
      <c r="H86">
        <f t="shared" si="10"/>
        <v>3172.9326089162482</v>
      </c>
      <c r="J86">
        <f t="shared" si="11"/>
        <v>1.9589178356713401</v>
      </c>
      <c r="K86">
        <f t="shared" si="12"/>
        <v>4.1166678785557096</v>
      </c>
      <c r="L86">
        <v>0</v>
      </c>
    </row>
    <row r="87" spans="1:12" x14ac:dyDescent="0.4">
      <c r="A87">
        <v>75</v>
      </c>
      <c r="B87">
        <f t="shared" si="13"/>
        <v>19.543086172344701</v>
      </c>
      <c r="C87">
        <f t="shared" si="14"/>
        <v>41.137986364349523</v>
      </c>
      <c r="D87">
        <f t="shared" si="17"/>
        <v>25.410607444942581</v>
      </c>
      <c r="E87">
        <f t="shared" si="15"/>
        <v>0.42910236488576797</v>
      </c>
      <c r="F87">
        <f t="shared" si="16"/>
        <v>89.230298670437733</v>
      </c>
      <c r="G87">
        <f t="shared" si="9"/>
        <v>31.909845612747574</v>
      </c>
      <c r="H87">
        <f t="shared" si="10"/>
        <v>3081.628488346324</v>
      </c>
      <c r="J87">
        <f t="shared" si="11"/>
        <v>1.9543086172344701</v>
      </c>
      <c r="K87">
        <f t="shared" si="12"/>
        <v>4.1137986364349519</v>
      </c>
      <c r="L87">
        <v>0</v>
      </c>
    </row>
    <row r="88" spans="1:12" x14ac:dyDescent="0.4">
      <c r="A88">
        <v>76</v>
      </c>
      <c r="B88">
        <f t="shared" si="13"/>
        <v>19.496993987976001</v>
      </c>
      <c r="C88">
        <f t="shared" si="14"/>
        <v>41.109285516117346</v>
      </c>
      <c r="D88">
        <f t="shared" si="17"/>
        <v>25.373688242193357</v>
      </c>
      <c r="E88">
        <f t="shared" si="15"/>
        <v>0.42852025240779151</v>
      </c>
      <c r="F88">
        <f t="shared" si="16"/>
        <v>89.208193609148722</v>
      </c>
      <c r="G88">
        <f t="shared" si="9"/>
        <v>31.917252683477685</v>
      </c>
      <c r="H88">
        <f t="shared" si="10"/>
        <v>2994.0102569079477</v>
      </c>
      <c r="J88">
        <f t="shared" si="11"/>
        <v>1.9496993987976001</v>
      </c>
      <c r="K88">
        <f t="shared" si="12"/>
        <v>4.1109285516117344</v>
      </c>
      <c r="L88">
        <v>0</v>
      </c>
    </row>
    <row r="89" spans="1:12" x14ac:dyDescent="0.4">
      <c r="A89">
        <v>77</v>
      </c>
      <c r="B89">
        <f t="shared" si="13"/>
        <v>19.450901803607199</v>
      </c>
      <c r="C89">
        <f t="shared" si="14"/>
        <v>41.080576398130582</v>
      </c>
      <c r="D89">
        <f t="shared" si="17"/>
        <v>25.336699287085899</v>
      </c>
      <c r="E89">
        <f t="shared" si="15"/>
        <v>0.42793686170356199</v>
      </c>
      <c r="F89">
        <f t="shared" si="16"/>
        <v>89.185732956802568</v>
      </c>
      <c r="G89">
        <f t="shared" si="9"/>
        <v>31.924516834858334</v>
      </c>
      <c r="H89">
        <f t="shared" si="10"/>
        <v>2909.8849463347792</v>
      </c>
      <c r="J89">
        <f t="shared" si="11"/>
        <v>1.9450901803607199</v>
      </c>
      <c r="K89">
        <f t="shared" si="12"/>
        <v>4.1080576398130582</v>
      </c>
      <c r="L89">
        <v>0</v>
      </c>
    </row>
    <row r="90" spans="1:12" x14ac:dyDescent="0.4">
      <c r="A90">
        <v>78</v>
      </c>
      <c r="B90">
        <f t="shared" si="13"/>
        <v>19.404809619238499</v>
      </c>
      <c r="C90">
        <f t="shared" si="14"/>
        <v>41.051859168660457</v>
      </c>
      <c r="D90">
        <f t="shared" si="17"/>
        <v>25.29964029636707</v>
      </c>
      <c r="E90">
        <f t="shared" si="15"/>
        <v>0.42735218753701848</v>
      </c>
      <c r="F90">
        <f t="shared" si="16"/>
        <v>89.162914760701028</v>
      </c>
      <c r="G90">
        <f t="shared" si="9"/>
        <v>31.931637232166977</v>
      </c>
      <c r="H90">
        <f t="shared" si="10"/>
        <v>2829.0719829625509</v>
      </c>
      <c r="J90">
        <f t="shared" si="11"/>
        <v>1.9404809619238499</v>
      </c>
      <c r="K90">
        <f t="shared" si="12"/>
        <v>4.1051859168660458</v>
      </c>
      <c r="L90">
        <v>0</v>
      </c>
    </row>
    <row r="91" spans="1:12" x14ac:dyDescent="0.4">
      <c r="A91">
        <v>79</v>
      </c>
      <c r="B91">
        <f t="shared" si="13"/>
        <v>19.3587174348697</v>
      </c>
      <c r="C91">
        <f t="shared" si="14"/>
        <v>41.023133986985563</v>
      </c>
      <c r="D91">
        <f t="shared" si="17"/>
        <v>25.262510985725594</v>
      </c>
      <c r="E91">
        <f t="shared" si="15"/>
        <v>0.42676622465085451</v>
      </c>
      <c r="F91">
        <f t="shared" si="16"/>
        <v>89.139737054471198</v>
      </c>
      <c r="G91">
        <f t="shared" si="9"/>
        <v>31.9386130343728</v>
      </c>
      <c r="H91">
        <f t="shared" si="10"/>
        <v>2751.4022471070962</v>
      </c>
      <c r="J91">
        <f t="shared" si="11"/>
        <v>1.9358717434869699</v>
      </c>
      <c r="K91">
        <f t="shared" si="12"/>
        <v>4.1023133986985565</v>
      </c>
      <c r="L91">
        <v>0</v>
      </c>
    </row>
    <row r="92" spans="1:12" x14ac:dyDescent="0.4">
      <c r="A92">
        <v>80</v>
      </c>
      <c r="B92">
        <f t="shared" si="13"/>
        <v>19.312625250501</v>
      </c>
      <c r="C92">
        <f t="shared" si="14"/>
        <v>40.994401013398047</v>
      </c>
      <c r="D92">
        <f t="shared" si="17"/>
        <v>25.225311069792134</v>
      </c>
      <c r="E92">
        <f t="shared" si="15"/>
        <v>0.4261789677665006</v>
      </c>
      <c r="F92">
        <f t="shared" si="16"/>
        <v>89.116197857974967</v>
      </c>
      <c r="G92">
        <f t="shared" si="9"/>
        <v>31.945443394091416</v>
      </c>
      <c r="H92">
        <f t="shared" si="10"/>
        <v>2676.7172145593236</v>
      </c>
      <c r="J92">
        <f t="shared" si="11"/>
        <v>1.9312625250501001</v>
      </c>
      <c r="K92">
        <f t="shared" si="12"/>
        <v>4.0994401013398045</v>
      </c>
      <c r="L92">
        <v>0</v>
      </c>
    </row>
    <row r="93" spans="1:12" x14ac:dyDescent="0.4">
      <c r="A93">
        <v>81</v>
      </c>
      <c r="B93">
        <f t="shared" si="13"/>
        <v>19.2665330661323</v>
      </c>
      <c r="C93">
        <f t="shared" si="14"/>
        <v>40.965660409209832</v>
      </c>
      <c r="D93">
        <f t="shared" si="17"/>
        <v>25.188040262137761</v>
      </c>
      <c r="E93">
        <f t="shared" si="15"/>
        <v>0.42559041158408234</v>
      </c>
      <c r="F93">
        <f t="shared" si="16"/>
        <v>89.092295177216542</v>
      </c>
      <c r="G93">
        <f t="shared" si="9"/>
        <v>31.95212745753939</v>
      </c>
      <c r="H93">
        <f t="shared" si="10"/>
        <v>2604.8681721030703</v>
      </c>
      <c r="J93">
        <f t="shared" si="11"/>
        <v>1.9266533066132301</v>
      </c>
      <c r="K93">
        <f t="shared" si="12"/>
        <v>4.0965660409209832</v>
      </c>
      <c r="L93">
        <v>0</v>
      </c>
    </row>
    <row r="94" spans="1:12" x14ac:dyDescent="0.4">
      <c r="A94">
        <v>82</v>
      </c>
      <c r="B94">
        <f t="shared" si="13"/>
        <v>19.220440881763501</v>
      </c>
      <c r="C94">
        <f t="shared" si="14"/>
        <v>40.936912336758851</v>
      </c>
      <c r="D94">
        <f t="shared" si="17"/>
        <v>25.15069827527358</v>
      </c>
      <c r="E94">
        <f t="shared" si="15"/>
        <v>0.4250005507823959</v>
      </c>
      <c r="F94">
        <f t="shared" si="16"/>
        <v>89.068027004250496</v>
      </c>
      <c r="G94">
        <f t="shared" si="9"/>
        <v>31.958664364488456</v>
      </c>
      <c r="H94">
        <f t="shared" si="10"/>
        <v>2535.7154998651572</v>
      </c>
      <c r="J94">
        <f t="shared" si="11"/>
        <v>1.9220440881763501</v>
      </c>
      <c r="K94">
        <f t="shared" si="12"/>
        <v>4.0936912336758855</v>
      </c>
      <c r="L94">
        <v>0</v>
      </c>
    </row>
    <row r="95" spans="1:12" x14ac:dyDescent="0.4">
      <c r="A95">
        <v>83</v>
      </c>
      <c r="B95">
        <f t="shared" si="13"/>
        <v>19.174348697394802</v>
      </c>
      <c r="C95">
        <f t="shared" si="14"/>
        <v>40.908156959415308</v>
      </c>
      <c r="D95">
        <f t="shared" si="17"/>
        <v>25.11328482065046</v>
      </c>
      <c r="E95">
        <f t="shared" si="15"/>
        <v>0.42440938001888606</v>
      </c>
      <c r="F95">
        <f t="shared" si="16"/>
        <v>89.043391317089501</v>
      </c>
      <c r="G95">
        <f t="shared" si="9"/>
        <v>31.965053248219519</v>
      </c>
      <c r="H95">
        <f t="shared" si="10"/>
        <v>2469.1280140725776</v>
      </c>
      <c r="J95">
        <f t="shared" si="11"/>
        <v>1.9174348697394801</v>
      </c>
      <c r="K95">
        <f t="shared" si="12"/>
        <v>4.0908156959415312</v>
      </c>
      <c r="L95">
        <v>0</v>
      </c>
    </row>
    <row r="96" spans="1:12" x14ac:dyDescent="0.4">
      <c r="A96">
        <v>84</v>
      </c>
      <c r="B96">
        <f t="shared" si="13"/>
        <v>19.128256513026098</v>
      </c>
      <c r="C96">
        <f t="shared" si="14"/>
        <v>40.879394441587969</v>
      </c>
      <c r="D96">
        <f t="shared" si="17"/>
        <v>25.075799608657796</v>
      </c>
      <c r="E96">
        <f t="shared" si="15"/>
        <v>0.42381689392960875</v>
      </c>
      <c r="F96">
        <f t="shared" si="16"/>
        <v>89.018386079610565</v>
      </c>
      <c r="G96">
        <f t="shared" si="9"/>
        <v>31.971293235476384</v>
      </c>
      <c r="H96">
        <f t="shared" si="10"/>
        <v>2404.9823644776538</v>
      </c>
      <c r="J96">
        <f t="shared" si="11"/>
        <v>1.9128256513026098</v>
      </c>
      <c r="K96">
        <f t="shared" si="12"/>
        <v>4.0879394441587973</v>
      </c>
      <c r="L96">
        <v>0</v>
      </c>
    </row>
    <row r="97" spans="1:12" x14ac:dyDescent="0.4">
      <c r="A97">
        <v>85</v>
      </c>
      <c r="B97">
        <f t="shared" si="13"/>
        <v>19.082164328657299</v>
      </c>
      <c r="C97">
        <f t="shared" si="14"/>
        <v>40.850624948730456</v>
      </c>
      <c r="D97">
        <f t="shared" si="17"/>
        <v>25.038242348623406</v>
      </c>
      <c r="E97">
        <f t="shared" si="15"/>
        <v>0.42322308712921158</v>
      </c>
      <c r="F97">
        <f t="shared" si="16"/>
        <v>88.993009241461863</v>
      </c>
      <c r="G97">
        <f t="shared" si="9"/>
        <v>31.977383446419228</v>
      </c>
      <c r="H97">
        <f t="shared" si="10"/>
        <v>2343.1624813260319</v>
      </c>
      <c r="J97">
        <f t="shared" si="11"/>
        <v>1.9082164328657298</v>
      </c>
      <c r="K97">
        <f t="shared" si="12"/>
        <v>4.0850624948730454</v>
      </c>
      <c r="L97">
        <v>0</v>
      </c>
    </row>
    <row r="98" spans="1:12" x14ac:dyDescent="0.4">
      <c r="A98">
        <v>86</v>
      </c>
      <c r="B98">
        <f t="shared" si="13"/>
        <v>19.0360721442886</v>
      </c>
      <c r="C98">
        <f t="shared" si="14"/>
        <v>40.821848647347586</v>
      </c>
      <c r="D98">
        <f t="shared" si="17"/>
        <v>25.000612748813452</v>
      </c>
      <c r="E98">
        <f t="shared" si="15"/>
        <v>0.42262795421091492</v>
      </c>
      <c r="F98">
        <f t="shared" si="16"/>
        <v>88.967258737969075</v>
      </c>
      <c r="G98">
        <f t="shared" si="9"/>
        <v>31.983322994577811</v>
      </c>
      <c r="H98">
        <f t="shared" si="10"/>
        <v>2283.5590672684166</v>
      </c>
      <c r="J98">
        <f t="shared" si="11"/>
        <v>1.9036072144288601</v>
      </c>
      <c r="K98">
        <f t="shared" si="12"/>
        <v>4.0821848647347583</v>
      </c>
      <c r="L98">
        <v>0</v>
      </c>
    </row>
    <row r="99" spans="1:12" x14ac:dyDescent="0.4">
      <c r="A99">
        <v>87</v>
      </c>
      <c r="B99">
        <f t="shared" si="13"/>
        <v>18.9899799599198</v>
      </c>
      <c r="C99">
        <f t="shared" si="14"/>
        <v>40.79306570500173</v>
      </c>
      <c r="D99">
        <f t="shared" si="17"/>
        <v>24.962910516431325</v>
      </c>
      <c r="E99">
        <f t="shared" si="15"/>
        <v>0.4220314897464767</v>
      </c>
      <c r="F99">
        <f t="shared" si="16"/>
        <v>88.941132490040431</v>
      </c>
      <c r="G99">
        <f t="shared" si="9"/>
        <v>31.989110986804555</v>
      </c>
      <c r="H99">
        <f t="shared" si="10"/>
        <v>2226.0691300919934</v>
      </c>
      <c r="J99">
        <f t="shared" si="11"/>
        <v>1.89899799599198</v>
      </c>
      <c r="K99">
        <f t="shared" si="12"/>
        <v>4.0793065705001732</v>
      </c>
      <c r="L99">
        <v>0</v>
      </c>
    </row>
    <row r="100" spans="1:12" x14ac:dyDescent="0.4">
      <c r="A100">
        <v>88</v>
      </c>
      <c r="B100">
        <f t="shared" si="13"/>
        <v>18.943887775551101</v>
      </c>
      <c r="C100">
        <f t="shared" si="14"/>
        <v>40.764276290319181</v>
      </c>
      <c r="D100">
        <f t="shared" si="17"/>
        <v>24.925135357618341</v>
      </c>
      <c r="E100">
        <f t="shared" si="15"/>
        <v>0.4214336882861861</v>
      </c>
      <c r="F100">
        <f t="shared" si="16"/>
        <v>88.914628404072445</v>
      </c>
      <c r="G100">
        <f t="shared" si="9"/>
        <v>31.99474652322705</v>
      </c>
      <c r="H100">
        <f t="shared" si="10"/>
        <v>2170.5955525747754</v>
      </c>
      <c r="J100">
        <f t="shared" si="11"/>
        <v>1.89438877755511</v>
      </c>
      <c r="K100">
        <f t="shared" si="12"/>
        <v>4.0764276290319179</v>
      </c>
      <c r="L100">
        <v>0</v>
      </c>
    </row>
    <row r="101" spans="1:12" x14ac:dyDescent="0.4">
      <c r="A101">
        <v>89</v>
      </c>
      <c r="B101">
        <f t="shared" si="13"/>
        <v>18.897795591182401</v>
      </c>
      <c r="C101">
        <f t="shared" si="14"/>
        <v>40.735480572996551</v>
      </c>
      <c r="D101">
        <f t="shared" si="17"/>
        <v>24.887286977452778</v>
      </c>
      <c r="E101">
        <f t="shared" si="15"/>
        <v>0.420834544358831</v>
      </c>
      <c r="F101">
        <f t="shared" si="16"/>
        <v>88.887744371854396</v>
      </c>
      <c r="G101">
        <f t="shared" si="9"/>
        <v>32.000228697200811</v>
      </c>
      <c r="H101">
        <f t="shared" si="10"/>
        <v>2117.0466961295006</v>
      </c>
      <c r="J101">
        <f t="shared" si="11"/>
        <v>1.88977955911824</v>
      </c>
      <c r="K101">
        <f t="shared" si="12"/>
        <v>4.0735480572996554</v>
      </c>
      <c r="L101">
        <v>0</v>
      </c>
    </row>
    <row r="102" spans="1:12" x14ac:dyDescent="0.4">
      <c r="A102">
        <v>90</v>
      </c>
      <c r="B102">
        <f t="shared" si="13"/>
        <v>18.851703406813598</v>
      </c>
      <c r="C102">
        <f t="shared" si="14"/>
        <v>40.706678723807201</v>
      </c>
      <c r="D102">
        <f t="shared" si="17"/>
        <v>24.849365079950129</v>
      </c>
      <c r="E102">
        <f t="shared" si="15"/>
        <v>0.42023405247168455</v>
      </c>
      <c r="F102">
        <f t="shared" si="16"/>
        <v>88.860478270472726</v>
      </c>
      <c r="G102">
        <f t="shared" si="9"/>
        <v>32.005556595261297</v>
      </c>
      <c r="H102">
        <f t="shared" si="10"/>
        <v>2065.3360352426162</v>
      </c>
      <c r="J102">
        <f t="shared" si="11"/>
        <v>1.8851703406813598</v>
      </c>
      <c r="K102">
        <f t="shared" si="12"/>
        <v>4.0706678723807199</v>
      </c>
      <c r="L102">
        <v>0</v>
      </c>
    </row>
    <row r="103" spans="1:12" x14ac:dyDescent="0.4">
      <c r="A103">
        <v>91</v>
      </c>
      <c r="B103">
        <f t="shared" si="13"/>
        <v>18.805611222444899</v>
      </c>
      <c r="C103">
        <f t="shared" si="14"/>
        <v>40.677870914607666</v>
      </c>
      <c r="D103">
        <f t="shared" si="17"/>
        <v>24.811369368063499</v>
      </c>
      <c r="E103">
        <f t="shared" si="15"/>
        <v>0.41963220711049481</v>
      </c>
      <c r="F103">
        <f t="shared" si="16"/>
        <v>88.83282796221539</v>
      </c>
      <c r="G103">
        <f t="shared" si="9"/>
        <v>32.010729297075947</v>
      </c>
      <c r="H103">
        <f t="shared" si="10"/>
        <v>2015.3818200073711</v>
      </c>
      <c r="J103">
        <f t="shared" si="11"/>
        <v>1.8805611222444898</v>
      </c>
      <c r="K103">
        <f t="shared" si="12"/>
        <v>4.067787091460767</v>
      </c>
      <c r="L103">
        <v>0</v>
      </c>
    </row>
    <row r="104" spans="1:12" x14ac:dyDescent="0.4">
      <c r="A104">
        <v>92</v>
      </c>
      <c r="B104">
        <f t="shared" si="13"/>
        <v>18.759519038076199</v>
      </c>
      <c r="C104">
        <f t="shared" si="14"/>
        <v>40.649057318344141</v>
      </c>
      <c r="D104">
        <f t="shared" si="17"/>
        <v>24.77329954368296</v>
      </c>
      <c r="E104">
        <f t="shared" si="15"/>
        <v>0.41902900273945737</v>
      </c>
      <c r="F104">
        <f t="shared" si="16"/>
        <v>88.804791294474896</v>
      </c>
      <c r="G104">
        <f t="shared" si="9"/>
        <v>32.015745875395965</v>
      </c>
      <c r="H104">
        <f t="shared" si="10"/>
        <v>1967.1067643105227</v>
      </c>
      <c r="J104">
        <f t="shared" si="11"/>
        <v>1.87595190380762</v>
      </c>
      <c r="K104">
        <f t="shared" si="12"/>
        <v>4.0649057318344139</v>
      </c>
      <c r="L104">
        <v>0</v>
      </c>
    </row>
    <row r="105" spans="1:12" x14ac:dyDescent="0.4">
      <c r="A105">
        <v>93</v>
      </c>
      <c r="B105">
        <f t="shared" si="13"/>
        <v>18.7134268537074</v>
      </c>
      <c r="C105">
        <f t="shared" si="14"/>
        <v>40.620238109058953</v>
      </c>
      <c r="D105">
        <f t="shared" si="17"/>
        <v>24.73515530763612</v>
      </c>
      <c r="E105">
        <f t="shared" si="15"/>
        <v>0.4184244338012077</v>
      </c>
      <c r="F105">
        <f t="shared" si="16"/>
        <v>88.776366099651668</v>
      </c>
      <c r="G105">
        <f t="shared" si="9"/>
        <v>32.020605396007774</v>
      </c>
      <c r="H105">
        <f t="shared" si="10"/>
        <v>1920.4377574731577</v>
      </c>
      <c r="J105">
        <f t="shared" si="11"/>
        <v>1.87134268537074</v>
      </c>
      <c r="K105">
        <f t="shared" si="12"/>
        <v>4.0620238109058953</v>
      </c>
      <c r="L105">
        <v>0</v>
      </c>
    </row>
    <row r="106" spans="1:12" x14ac:dyDescent="0.4">
      <c r="A106">
        <v>94</v>
      </c>
      <c r="B106">
        <f t="shared" si="13"/>
        <v>18.6673346693387</v>
      </c>
      <c r="C106">
        <f t="shared" si="14"/>
        <v>40.591413461897062</v>
      </c>
      <c r="D106">
        <f t="shared" si="17"/>
        <v>24.696936359688731</v>
      </c>
      <c r="E106">
        <f t="shared" si="15"/>
        <v>0.41781849471681426</v>
      </c>
      <c r="F106">
        <f t="shared" si="16"/>
        <v>88.747550195057173</v>
      </c>
      <c r="G106">
        <f t="shared" si="9"/>
        <v>32.025306917684219</v>
      </c>
      <c r="H106">
        <f t="shared" si="10"/>
        <v>1875.3055973523849</v>
      </c>
      <c r="J106">
        <f t="shared" si="11"/>
        <v>1.86673346693387</v>
      </c>
      <c r="K106">
        <f t="shared" si="12"/>
        <v>4.0591413461897066</v>
      </c>
      <c r="L106">
        <v>0</v>
      </c>
    </row>
    <row r="107" spans="1:12" x14ac:dyDescent="0.4">
      <c r="A107">
        <v>95</v>
      </c>
      <c r="B107">
        <f t="shared" si="13"/>
        <v>18.621242484969901</v>
      </c>
      <c r="C107">
        <f t="shared" si="14"/>
        <v>40.56258355311261</v>
      </c>
      <c r="D107">
        <f t="shared" si="17"/>
        <v>24.658642398544234</v>
      </c>
      <c r="E107">
        <f t="shared" si="15"/>
        <v>0.41721117988575462</v>
      </c>
      <c r="F107">
        <f t="shared" si="16"/>
        <v>88.718341382815609</v>
      </c>
      <c r="G107">
        <f t="shared" si="9"/>
        <v>32.029849492135689</v>
      </c>
      <c r="H107">
        <f t="shared" si="10"/>
        <v>1831.6447430977742</v>
      </c>
      <c r="J107">
        <f t="shared" si="11"/>
        <v>1.8621242484969902</v>
      </c>
      <c r="K107">
        <f t="shared" si="12"/>
        <v>4.056258355311261</v>
      </c>
      <c r="L107">
        <v>0</v>
      </c>
    </row>
    <row r="108" spans="1:12" x14ac:dyDescent="0.4">
      <c r="A108">
        <v>96</v>
      </c>
      <c r="B108">
        <f t="shared" si="13"/>
        <v>18.575150300601202</v>
      </c>
      <c r="C108">
        <f t="shared" si="14"/>
        <v>40.533748560075431</v>
      </c>
      <c r="D108">
        <f t="shared" si="17"/>
        <v>24.62027312184517</v>
      </c>
      <c r="E108">
        <f t="shared" si="15"/>
        <v>0.41660248368592179</v>
      </c>
      <c r="F108">
        <f t="shared" si="16"/>
        <v>88.688737449766577</v>
      </c>
      <c r="G108">
        <f t="shared" si="9"/>
        <v>32.034232163960702</v>
      </c>
      <c r="H108">
        <f t="shared" si="10"/>
        <v>1789.3930859312734</v>
      </c>
      <c r="J108">
        <f t="shared" si="11"/>
        <v>1.8575150300601202</v>
      </c>
      <c r="K108">
        <f t="shared" si="12"/>
        <v>4.0533748560075429</v>
      </c>
      <c r="L108">
        <v>0</v>
      </c>
    </row>
    <row r="109" spans="1:12" x14ac:dyDescent="0.4">
      <c r="A109">
        <v>97</v>
      </c>
      <c r="B109">
        <f t="shared" si="13"/>
        <v>18.529058116232498</v>
      </c>
      <c r="C109">
        <f t="shared" si="14"/>
        <v>40.504908661277661</v>
      </c>
      <c r="D109">
        <f t="shared" si="17"/>
        <v>24.581828226172892</v>
      </c>
      <c r="E109">
        <f t="shared" si="15"/>
        <v>0.41599240047360325</v>
      </c>
      <c r="F109">
        <f t="shared" si="16"/>
        <v>88.658736167366143</v>
      </c>
      <c r="G109">
        <f t="shared" si="9"/>
        <v>32.038453970596628</v>
      </c>
      <c r="H109">
        <f t="shared" si="10"/>
        <v>1748.4917364625139</v>
      </c>
      <c r="J109">
        <f t="shared" si="11"/>
        <v>1.8529058116232497</v>
      </c>
      <c r="K109">
        <f t="shared" si="12"/>
        <v>4.0504908661277659</v>
      </c>
      <c r="L109">
        <v>0</v>
      </c>
    </row>
    <row r="110" spans="1:12" x14ac:dyDescent="0.4">
      <c r="A110">
        <v>98</v>
      </c>
      <c r="B110">
        <f t="shared" si="13"/>
        <v>18.482965931863699</v>
      </c>
      <c r="C110">
        <f t="shared" si="14"/>
        <v>40.476064036340297</v>
      </c>
      <c r="D110">
        <f t="shared" si="17"/>
        <v>24.54330740704858</v>
      </c>
      <c r="E110">
        <f t="shared" si="15"/>
        <v>0.41538092458348147</v>
      </c>
      <c r="F110">
        <f t="shared" si="16"/>
        <v>88.628335291588201</v>
      </c>
      <c r="G110">
        <f t="shared" si="9"/>
        <v>32.042513942269807</v>
      </c>
      <c r="H110">
        <f t="shared" si="10"/>
        <v>1708.8848271943816</v>
      </c>
      <c r="J110">
        <f t="shared" si="11"/>
        <v>1.84829659318637</v>
      </c>
      <c r="K110">
        <f t="shared" si="12"/>
        <v>4.0476064036340293</v>
      </c>
      <c r="L110">
        <v>0</v>
      </c>
    </row>
    <row r="111" spans="1:12" x14ac:dyDescent="0.4">
      <c r="A111">
        <v>99</v>
      </c>
      <c r="B111">
        <f t="shared" si="13"/>
        <v>18.436873747495</v>
      </c>
      <c r="C111">
        <f t="shared" si="14"/>
        <v>40.447214866019806</v>
      </c>
      <c r="D111">
        <f t="shared" si="17"/>
        <v>24.504710358934332</v>
      </c>
      <c r="E111">
        <f t="shared" si="15"/>
        <v>0.41476805032863495</v>
      </c>
      <c r="F111">
        <f t="shared" si="16"/>
        <v>88.597532562825663</v>
      </c>
      <c r="G111">
        <f t="shared" si="9"/>
        <v>32.046411101945665</v>
      </c>
      <c r="H111">
        <f t="shared" si="10"/>
        <v>1670.5193289923841</v>
      </c>
      <c r="J111">
        <f t="shared" si="11"/>
        <v>1.8436873747495</v>
      </c>
      <c r="K111">
        <f t="shared" si="12"/>
        <v>4.0447214866019809</v>
      </c>
      <c r="L111">
        <v>0</v>
      </c>
    </row>
    <row r="112" spans="1:12" x14ac:dyDescent="0.4">
      <c r="A112">
        <v>100</v>
      </c>
      <c r="B112">
        <f t="shared" si="13"/>
        <v>18.3907815631263</v>
      </c>
      <c r="C112">
        <f t="shared" si="14"/>
        <v>40.418361332214772</v>
      </c>
      <c r="D112">
        <f t="shared" si="17"/>
        <v>24.466036775233299</v>
      </c>
      <c r="E112">
        <f t="shared" si="15"/>
        <v>0.41415377200052511</v>
      </c>
      <c r="F112">
        <f t="shared" si="16"/>
        <v>88.566325705790419</v>
      </c>
      <c r="G112">
        <f t="shared" si="9"/>
        <v>32.050144465278564</v>
      </c>
      <c r="H112">
        <f t="shared" si="10"/>
        <v>1633.3448804009365</v>
      </c>
      <c r="J112">
        <f t="shared" si="11"/>
        <v>1.8390781563126299</v>
      </c>
      <c r="K112">
        <f t="shared" si="12"/>
        <v>4.0418361332214774</v>
      </c>
      <c r="L112">
        <v>0</v>
      </c>
    </row>
    <row r="113" spans="1:12" x14ac:dyDescent="0.4">
      <c r="A113">
        <v>101</v>
      </c>
      <c r="B113">
        <f t="shared" si="13"/>
        <v>18.344689378757501</v>
      </c>
      <c r="C113">
        <f t="shared" si="14"/>
        <v>40.389503617972508</v>
      </c>
      <c r="D113">
        <f t="shared" si="17"/>
        <v>24.427286348290995</v>
      </c>
      <c r="E113">
        <f t="shared" si="15"/>
        <v>0.41353808386900154</v>
      </c>
      <c r="F113">
        <f t="shared" si="16"/>
        <v>88.534712429413645</v>
      </c>
      <c r="G113">
        <f t="shared" si="9"/>
        <v>32.053713040561327</v>
      </c>
      <c r="H113">
        <f t="shared" si="10"/>
        <v>1597.313628791846</v>
      </c>
      <c r="J113">
        <f t="shared" si="11"/>
        <v>1.8344689378757502</v>
      </c>
      <c r="K113">
        <f t="shared" si="12"/>
        <v>4.0389503617972506</v>
      </c>
      <c r="L113">
        <v>0</v>
      </c>
    </row>
    <row r="114" spans="1:12" x14ac:dyDescent="0.4">
      <c r="A114">
        <v>102</v>
      </c>
      <c r="B114">
        <f t="shared" si="13"/>
        <v>18.298597194388801</v>
      </c>
      <c r="C114">
        <f t="shared" si="14"/>
        <v>40.360641907495754</v>
      </c>
      <c r="D114">
        <f t="shared" si="17"/>
        <v>24.388458769396696</v>
      </c>
      <c r="E114">
        <f t="shared" si="15"/>
        <v>0.41292098018230899</v>
      </c>
      <c r="F114">
        <f t="shared" si="16"/>
        <v>88.502690426745829</v>
      </c>
      <c r="G114">
        <f t="shared" si="9"/>
        <v>32.057115828674569</v>
      </c>
      <c r="H114">
        <f t="shared" si="10"/>
        <v>1562.3800824175999</v>
      </c>
      <c r="J114">
        <f t="shared" si="11"/>
        <v>1.8298597194388802</v>
      </c>
      <c r="K114">
        <f t="shared" si="12"/>
        <v>4.0360641907495758</v>
      </c>
      <c r="L114">
        <v>0</v>
      </c>
    </row>
    <row r="115" spans="1:12" x14ac:dyDescent="0.4">
      <c r="A115">
        <v>103</v>
      </c>
      <c r="B115">
        <f t="shared" si="13"/>
        <v>18.252505010019998</v>
      </c>
      <c r="C115">
        <f t="shared" si="14"/>
        <v>40.331776386149329</v>
      </c>
      <c r="D115">
        <f t="shared" si="17"/>
        <v>24.349553728783771</v>
      </c>
      <c r="E115">
        <f t="shared" si="15"/>
        <v>0.41230245516707764</v>
      </c>
      <c r="F115">
        <f t="shared" si="16"/>
        <v>88.470257374855521</v>
      </c>
      <c r="G115">
        <f t="shared" si="9"/>
        <v>32.060351823035873</v>
      </c>
      <c r="H115">
        <f t="shared" si="10"/>
        <v>1528.5009725218856</v>
      </c>
      <c r="J115">
        <f t="shared" si="11"/>
        <v>1.8252505010019999</v>
      </c>
      <c r="K115">
        <f t="shared" si="12"/>
        <v>4.0331776386149327</v>
      </c>
      <c r="L115">
        <v>0</v>
      </c>
    </row>
    <row r="116" spans="1:12" x14ac:dyDescent="0.4">
      <c r="A116">
        <v>104</v>
      </c>
      <c r="B116">
        <f t="shared" si="13"/>
        <v>18.206412825651299</v>
      </c>
      <c r="C116">
        <f t="shared" si="14"/>
        <v>40.302907240466851</v>
      </c>
      <c r="D116">
        <f t="shared" si="17"/>
        <v>24.310570915631907</v>
      </c>
      <c r="E116">
        <f t="shared" si="15"/>
        <v>0.41168250302834336</v>
      </c>
      <c r="F116">
        <f t="shared" si="16"/>
        <v>88.437410934729215</v>
      </c>
      <c r="G116">
        <f t="shared" si="9"/>
        <v>32.063420009548651</v>
      </c>
      <c r="H116">
        <f t="shared" si="10"/>
        <v>1495.6351247372527</v>
      </c>
      <c r="J116">
        <f t="shared" si="11"/>
        <v>1.8206412825651299</v>
      </c>
      <c r="K116">
        <f t="shared" si="12"/>
        <v>4.0302907240466848</v>
      </c>
      <c r="L116">
        <v>0</v>
      </c>
    </row>
    <row r="117" spans="1:12" x14ac:dyDescent="0.4">
      <c r="A117">
        <v>105</v>
      </c>
      <c r="B117">
        <f t="shared" si="13"/>
        <v>18.160320641282599</v>
      </c>
      <c r="C117">
        <f t="shared" si="14"/>
        <v>40.274034658157447</v>
      </c>
      <c r="D117">
        <f t="shared" si="17"/>
        <v>24.271510018067602</v>
      </c>
      <c r="E117">
        <f t="shared" si="15"/>
        <v>0.41106111794954114</v>
      </c>
      <c r="F117">
        <f t="shared" si="16"/>
        <v>88.404148751169231</v>
      </c>
      <c r="G117">
        <f t="shared" si="9"/>
        <v>32.066319366550815</v>
      </c>
      <c r="H117">
        <f t="shared" si="10"/>
        <v>1463.7433390595804</v>
      </c>
      <c r="J117">
        <f t="shared" si="11"/>
        <v>1.8160320641282599</v>
      </c>
      <c r="K117">
        <f t="shared" si="12"/>
        <v>4.0274034658157447</v>
      </c>
      <c r="L117">
        <v>0</v>
      </c>
    </row>
    <row r="118" spans="1:12" x14ac:dyDescent="0.4">
      <c r="A118">
        <v>106</v>
      </c>
      <c r="B118">
        <f t="shared" si="13"/>
        <v>18.1142284569138</v>
      </c>
      <c r="C118">
        <f t="shared" si="14"/>
        <v>40.24515882811248</v>
      </c>
      <c r="D118">
        <f t="shared" si="17"/>
        <v>24.232370723166063</v>
      </c>
      <c r="E118">
        <f t="shared" si="15"/>
        <v>0.41043829409252097</v>
      </c>
      <c r="F118">
        <f t="shared" si="16"/>
        <v>88.370468452692521</v>
      </c>
      <c r="G118">
        <f t="shared" si="9"/>
        <v>32.069048864763232</v>
      </c>
      <c r="H118">
        <f t="shared" si="10"/>
        <v>1432.7882777554248</v>
      </c>
      <c r="J118">
        <f t="shared" si="11"/>
        <v>1.8114228456913799</v>
      </c>
      <c r="K118">
        <f t="shared" si="12"/>
        <v>4.0245158828112482</v>
      </c>
      <c r="L118">
        <v>0</v>
      </c>
    </row>
    <row r="119" spans="1:12" x14ac:dyDescent="0.4">
      <c r="A119">
        <v>107</v>
      </c>
      <c r="B119">
        <f t="shared" si="13"/>
        <v>18.0681362725451</v>
      </c>
      <c r="C119">
        <f t="shared" si="14"/>
        <v>40.216279940412306</v>
      </c>
      <c r="D119">
        <f t="shared" si="17"/>
        <v>24.193152716953122</v>
      </c>
      <c r="E119">
        <f t="shared" si="15"/>
        <v>0.40981402559756358</v>
      </c>
      <c r="F119">
        <f t="shared" si="16"/>
        <v>88.33636765142893</v>
      </c>
      <c r="G119">
        <f t="shared" si="9"/>
        <v>32.071607467237904</v>
      </c>
      <c r="H119">
        <f t="shared" si="10"/>
        <v>1402.7343606080558</v>
      </c>
      <c r="J119">
        <f t="shared" si="11"/>
        <v>1.8068136272545101</v>
      </c>
      <c r="K119">
        <f t="shared" si="12"/>
        <v>4.0216279940412303</v>
      </c>
      <c r="L119">
        <v>0</v>
      </c>
    </row>
    <row r="120" spans="1:12" x14ac:dyDescent="0.4">
      <c r="A120">
        <v>108</v>
      </c>
      <c r="B120">
        <f t="shared" si="13"/>
        <v>18.022044088176401</v>
      </c>
      <c r="C120">
        <f t="shared" si="14"/>
        <v>40.187398186333056</v>
      </c>
      <c r="D120">
        <f t="shared" si="17"/>
        <v>24.153855684406249</v>
      </c>
      <c r="E120">
        <f t="shared" si="15"/>
        <v>0.40918830658338307</v>
      </c>
      <c r="F120">
        <f t="shared" si="16"/>
        <v>88.30184394301827</v>
      </c>
      <c r="G120">
        <f t="shared" si="9"/>
        <v>32.073994129306008</v>
      </c>
      <c r="H120">
        <f t="shared" si="10"/>
        <v>1373.5476669584582</v>
      </c>
      <c r="J120">
        <f t="shared" si="11"/>
        <v>1.8022044088176401</v>
      </c>
      <c r="K120">
        <f t="shared" si="12"/>
        <v>4.0187398186333052</v>
      </c>
      <c r="L120">
        <v>0</v>
      </c>
    </row>
    <row r="121" spans="1:12" x14ac:dyDescent="0.4">
      <c r="A121">
        <v>109</v>
      </c>
      <c r="B121">
        <f t="shared" si="13"/>
        <v>17.975951903807601</v>
      </c>
      <c r="C121">
        <f t="shared" si="14"/>
        <v>40.158513758353386</v>
      </c>
      <c r="D121">
        <f t="shared" si="17"/>
        <v>24.114479309456723</v>
      </c>
      <c r="E121">
        <f t="shared" si="15"/>
        <v>0.40856113114714737</v>
      </c>
      <c r="F121">
        <f t="shared" si="16"/>
        <v>88.266894906508199</v>
      </c>
      <c r="G121">
        <f t="shared" si="9"/>
        <v>32.076207798525736</v>
      </c>
      <c r="H121">
        <f t="shared" si="10"/>
        <v>1345.1958440444173</v>
      </c>
      <c r="J121">
        <f t="shared" si="11"/>
        <v>1.7975951903807601</v>
      </c>
      <c r="K121">
        <f t="shared" si="12"/>
        <v>4.0158513758353385</v>
      </c>
      <c r="L121">
        <v>0</v>
      </c>
    </row>
    <row r="122" spans="1:12" x14ac:dyDescent="0.4">
      <c r="A122">
        <v>110</v>
      </c>
      <c r="B122">
        <f t="shared" si="13"/>
        <v>17.929859719438898</v>
      </c>
      <c r="C122">
        <f t="shared" si="14"/>
        <v>40.129626850161308</v>
      </c>
      <c r="D122">
        <f t="shared" si="17"/>
        <v>24.075023274991942</v>
      </c>
      <c r="E122">
        <f t="shared" si="15"/>
        <v>0.40793249336450171</v>
      </c>
      <c r="F122">
        <f t="shared" si="16"/>
        <v>88.231518104251364</v>
      </c>
      <c r="G122">
        <f t="shared" si="9"/>
        <v>32.078247414629715</v>
      </c>
      <c r="H122">
        <f t="shared" si="10"/>
        <v>1317.6480211785465</v>
      </c>
      <c r="J122">
        <f t="shared" si="11"/>
        <v>1.7929859719438899</v>
      </c>
      <c r="K122">
        <f t="shared" si="12"/>
        <v>4.0129626850161308</v>
      </c>
      <c r="L122">
        <v>0</v>
      </c>
    </row>
    <row r="123" spans="1:12" x14ac:dyDescent="0.4">
      <c r="A123">
        <v>111</v>
      </c>
      <c r="B123">
        <f t="shared" si="13"/>
        <v>17.883767535070099</v>
      </c>
      <c r="C123">
        <f t="shared" si="14"/>
        <v>40.100737656660982</v>
      </c>
      <c r="D123">
        <f t="shared" si="17"/>
        <v>24.035487262856677</v>
      </c>
      <c r="E123">
        <f t="shared" si="15"/>
        <v>0.40730238728957496</v>
      </c>
      <c r="F123">
        <f t="shared" si="16"/>
        <v>88.195711081801733</v>
      </c>
      <c r="G123">
        <f t="shared" si="9"/>
        <v>32.080111909472528</v>
      </c>
      <c r="H123">
        <f t="shared" si="10"/>
        <v>1290.8747293446088</v>
      </c>
      <c r="J123">
        <f t="shared" si="11"/>
        <v>1.7883767535070099</v>
      </c>
      <c r="K123">
        <f t="shared" si="12"/>
        <v>4.0100737656660979</v>
      </c>
      <c r="L123">
        <v>0</v>
      </c>
    </row>
    <row r="124" spans="1:12" x14ac:dyDescent="0.4">
      <c r="A124">
        <v>112</v>
      </c>
      <c r="B124">
        <f t="shared" si="13"/>
        <v>17.837675350701399</v>
      </c>
      <c r="C124">
        <f t="shared" si="14"/>
        <v>40.071846373979554</v>
      </c>
      <c r="D124">
        <f t="shared" si="17"/>
        <v>23.995870953856166</v>
      </c>
      <c r="E124">
        <f t="shared" si="15"/>
        <v>0.40667080695501634</v>
      </c>
      <c r="F124">
        <f t="shared" si="16"/>
        <v>88.159471367811804</v>
      </c>
      <c r="G124">
        <f t="shared" si="9"/>
        <v>32.081800206977817</v>
      </c>
      <c r="H124">
        <f t="shared" si="10"/>
        <v>1264.8478258263203</v>
      </c>
      <c r="J124">
        <f t="shared" si="11"/>
        <v>1.7837675350701399</v>
      </c>
      <c r="K124">
        <f t="shared" si="12"/>
        <v>4.0071846373979554</v>
      </c>
      <c r="L124">
        <v>0</v>
      </c>
    </row>
    <row r="125" spans="1:12" x14ac:dyDescent="0.4">
      <c r="A125">
        <v>113</v>
      </c>
      <c r="B125">
        <f t="shared" si="13"/>
        <v>17.7915831663327</v>
      </c>
      <c r="C125">
        <f t="shared" si="14"/>
        <v>40.042953199473992</v>
      </c>
      <c r="D125">
        <f t="shared" si="17"/>
        <v>23.956174027757648</v>
      </c>
      <c r="E125">
        <f t="shared" si="15"/>
        <v>0.40603774637200646</v>
      </c>
      <c r="F125">
        <f t="shared" si="16"/>
        <v>88.122796473928119</v>
      </c>
      <c r="G125">
        <f t="shared" si="9"/>
        <v>32.083311223085232</v>
      </c>
      <c r="H125">
        <f t="shared" si="10"/>
        <v>1239.5404235107135</v>
      </c>
      <c r="J125">
        <f t="shared" si="11"/>
        <v>1.7791583166332701</v>
      </c>
      <c r="K125">
        <f t="shared" si="12"/>
        <v>4.0042953199473992</v>
      </c>
      <c r="L125">
        <v>0</v>
      </c>
    </row>
    <row r="126" spans="1:12" x14ac:dyDescent="0.4">
      <c r="A126">
        <v>114</v>
      </c>
      <c r="B126">
        <f t="shared" si="13"/>
        <v>17.745490981963901</v>
      </c>
      <c r="C126">
        <f t="shared" si="14"/>
        <v>40.014058331737949</v>
      </c>
      <c r="D126">
        <f t="shared" si="17"/>
        <v>23.916396163293136</v>
      </c>
      <c r="E126">
        <f t="shared" si="15"/>
        <v>0.40540319953028953</v>
      </c>
      <c r="F126">
        <f t="shared" si="16"/>
        <v>88.085683894687449</v>
      </c>
      <c r="G126">
        <f t="shared" si="9"/>
        <v>32.08464386569716</v>
      </c>
      <c r="H126">
        <f t="shared" si="10"/>
        <v>1214.9268245395269</v>
      </c>
      <c r="J126">
        <f t="shared" si="11"/>
        <v>1.7745490981963901</v>
      </c>
      <c r="K126">
        <f t="shared" si="12"/>
        <v>4.0014058331737949</v>
      </c>
      <c r="L126">
        <v>0</v>
      </c>
    </row>
    <row r="127" spans="1:12" x14ac:dyDescent="0.4">
      <c r="A127">
        <v>115</v>
      </c>
      <c r="B127">
        <f t="shared" si="13"/>
        <v>17.699398797595201</v>
      </c>
      <c r="C127">
        <f t="shared" si="14"/>
        <v>39.98516197060863</v>
      </c>
      <c r="D127">
        <f t="shared" si="17"/>
        <v>23.876537038162343</v>
      </c>
      <c r="E127">
        <f t="shared" si="15"/>
        <v>0.4047671603982072</v>
      </c>
      <c r="F127">
        <f t="shared" si="16"/>
        <v>88.048131107412971</v>
      </c>
      <c r="G127">
        <f t="shared" si="9"/>
        <v>32.085797034625315</v>
      </c>
      <c r="H127">
        <f t="shared" si="10"/>
        <v>1190.9824580057759</v>
      </c>
      <c r="J127">
        <f t="shared" si="11"/>
        <v>1.7699398797595201</v>
      </c>
      <c r="K127">
        <f t="shared" si="12"/>
        <v>3.9985161970608631</v>
      </c>
      <c r="L127">
        <v>0</v>
      </c>
    </row>
    <row r="128" spans="1:12" x14ac:dyDescent="0.4">
      <c r="A128">
        <v>116</v>
      </c>
      <c r="B128">
        <f t="shared" si="13"/>
        <v>17.653306613226501</v>
      </c>
      <c r="C128">
        <f t="shared" si="14"/>
        <v>39.95626431717367</v>
      </c>
      <c r="D128">
        <f t="shared" si="17"/>
        <v>23.836596329034698</v>
      </c>
      <c r="E128">
        <f t="shared" si="15"/>
        <v>0.40412962292271926</v>
      </c>
      <c r="F128">
        <f t="shared" si="16"/>
        <v>88.010135572108851</v>
      </c>
      <c r="G128">
        <f t="shared" si="9"/>
        <v>32.086769621537073</v>
      </c>
      <c r="H128">
        <f t="shared" si="10"/>
        <v>1167.683821415395</v>
      </c>
      <c r="J128">
        <f t="shared" si="11"/>
        <v>1.76533066132265</v>
      </c>
      <c r="K128">
        <f t="shared" si="12"/>
        <v>3.9956264317173669</v>
      </c>
      <c r="L128">
        <v>0</v>
      </c>
    </row>
    <row r="129" spans="1:12" x14ac:dyDescent="0.4">
      <c r="A129">
        <v>117</v>
      </c>
      <c r="B129">
        <f t="shared" si="13"/>
        <v>17.607214428857699</v>
      </c>
      <c r="C129">
        <f t="shared" si="14"/>
        <v>39.927365573778026</v>
      </c>
      <c r="D129">
        <f t="shared" si="17"/>
        <v>23.796573711552504</v>
      </c>
      <c r="E129">
        <f t="shared" si="15"/>
        <v>0.40349058102944174</v>
      </c>
      <c r="F129">
        <f t="shared" si="16"/>
        <v>87.971694731355811</v>
      </c>
      <c r="G129">
        <f t="shared" si="9"/>
        <v>32.08756050990165</v>
      </c>
      <c r="H129">
        <f t="shared" si="10"/>
        <v>1145.0084256582479</v>
      </c>
      <c r="J129">
        <f t="shared" si="11"/>
        <v>1.7607214428857698</v>
      </c>
      <c r="K129">
        <f t="shared" si="12"/>
        <v>3.9927365573778024</v>
      </c>
      <c r="L129">
        <v>0</v>
      </c>
    </row>
    <row r="130" spans="1:12" x14ac:dyDescent="0.4">
      <c r="A130">
        <v>118</v>
      </c>
      <c r="B130">
        <f t="shared" si="13"/>
        <v>17.561122244488999</v>
      </c>
      <c r="C130">
        <f t="shared" si="14"/>
        <v>39.898465944030896</v>
      </c>
      <c r="D130">
        <f t="shared" si="17"/>
        <v>23.756468860334312</v>
      </c>
      <c r="E130">
        <f t="shared" si="15"/>
        <v>0.4028500286226897</v>
      </c>
      <c r="F130">
        <f t="shared" si="16"/>
        <v>87.932806010206491</v>
      </c>
      <c r="G130">
        <f t="shared" si="9"/>
        <v>32.088168574936091</v>
      </c>
      <c r="H130">
        <f t="shared" si="10"/>
        <v>1122.934743249501</v>
      </c>
      <c r="J130">
        <f t="shared" si="11"/>
        <v>1.7561122244488998</v>
      </c>
      <c r="K130">
        <f t="shared" si="12"/>
        <v>3.9898465944030894</v>
      </c>
      <c r="L130">
        <v>0</v>
      </c>
    </row>
    <row r="131" spans="1:12" x14ac:dyDescent="0.4">
      <c r="A131">
        <v>119</v>
      </c>
      <c r="B131">
        <f t="shared" si="13"/>
        <v>17.5150300601202</v>
      </c>
      <c r="C131">
        <f t="shared" si="14"/>
        <v>39.869565632812623</v>
      </c>
      <c r="D131">
        <f t="shared" si="17"/>
        <v>23.71628144897716</v>
      </c>
      <c r="E131">
        <f t="shared" si="15"/>
        <v>0.4022079595855016</v>
      </c>
      <c r="F131">
        <f t="shared" si="16"/>
        <v>87.893466816079155</v>
      </c>
      <c r="G131">
        <f t="shared" si="9"/>
        <v>32.088592683550999</v>
      </c>
      <c r="H131">
        <f t="shared" si="10"/>
        <v>1101.4421596208704</v>
      </c>
      <c r="J131">
        <f t="shared" si="11"/>
        <v>1.75150300601202</v>
      </c>
      <c r="K131">
        <f t="shared" si="12"/>
        <v>3.9869565632812622</v>
      </c>
      <c r="L131">
        <v>0</v>
      </c>
    </row>
    <row r="132" spans="1:12" x14ac:dyDescent="0.4">
      <c r="A132">
        <v>120</v>
      </c>
      <c r="B132">
        <f t="shared" si="13"/>
        <v>17.4689378757515</v>
      </c>
      <c r="C132">
        <f t="shared" si="14"/>
        <v>39.840664846281626</v>
      </c>
      <c r="D132">
        <f t="shared" si="17"/>
        <v>23.676011150060802</v>
      </c>
      <c r="E132">
        <f t="shared" si="15"/>
        <v>0.40156436777969584</v>
      </c>
      <c r="F132">
        <f t="shared" si="16"/>
        <v>87.853674538653252</v>
      </c>
      <c r="G132">
        <f t="shared" si="9"/>
        <v>32.088831694296225</v>
      </c>
      <c r="H132">
        <f t="shared" si="10"/>
        <v>1080.5109272601408</v>
      </c>
      <c r="J132">
        <f t="shared" si="11"/>
        <v>1.74689378757515</v>
      </c>
      <c r="K132">
        <f t="shared" si="12"/>
        <v>3.9840664846281628</v>
      </c>
      <c r="L132">
        <v>0</v>
      </c>
    </row>
    <row r="133" spans="1:12" x14ac:dyDescent="0.4">
      <c r="A133">
        <v>121</v>
      </c>
      <c r="B133">
        <f t="shared" si="13"/>
        <v>17.4228456913828</v>
      </c>
      <c r="C133">
        <f t="shared" si="14"/>
        <v>39.81176379188134</v>
      </c>
      <c r="D133">
        <f t="shared" si="17"/>
        <v>23.63565763515027</v>
      </c>
      <c r="E133">
        <f t="shared" si="15"/>
        <v>0.40091924704590148</v>
      </c>
      <c r="F133">
        <f t="shared" si="16"/>
        <v>87.813426549762781</v>
      </c>
      <c r="G133">
        <f t="shared" si="9"/>
        <v>32.088884457306257</v>
      </c>
      <c r="H133">
        <f t="shared" si="10"/>
        <v>1060.1221225084009</v>
      </c>
      <c r="J133">
        <f t="shared" si="11"/>
        <v>1.74228456913828</v>
      </c>
      <c r="K133">
        <f t="shared" si="12"/>
        <v>3.9811763791881338</v>
      </c>
      <c r="L133">
        <v>0</v>
      </c>
    </row>
    <row r="134" spans="1:12" x14ac:dyDescent="0.4">
      <c r="A134">
        <v>122</v>
      </c>
      <c r="B134">
        <f t="shared" si="13"/>
        <v>17.376753507014001</v>
      </c>
      <c r="C134">
        <f t="shared" si="14"/>
        <v>39.782862678347165</v>
      </c>
      <c r="D134">
        <f t="shared" si="17"/>
        <v>23.595220574799761</v>
      </c>
      <c r="E134">
        <f t="shared" si="15"/>
        <v>0.40027259120360981</v>
      </c>
      <c r="F134">
        <f t="shared" si="16"/>
        <v>87.772720203290746</v>
      </c>
      <c r="G134">
        <f t="shared" si="9"/>
        <v>32.088749814245489</v>
      </c>
      <c r="H134">
        <f t="shared" si="10"/>
        <v>1040.2576048422986</v>
      </c>
      <c r="J134">
        <f t="shared" si="11"/>
        <v>1.7376753507014002</v>
      </c>
      <c r="K134">
        <f t="shared" si="12"/>
        <v>3.9782862678347164</v>
      </c>
      <c r="L134">
        <v>0</v>
      </c>
    </row>
    <row r="135" spans="1:12" x14ac:dyDescent="0.4">
      <c r="A135">
        <v>123</v>
      </c>
      <c r="B135">
        <f t="shared" si="13"/>
        <v>17.330661322645302</v>
      </c>
      <c r="C135">
        <f t="shared" si="14"/>
        <v>39.753961715713416</v>
      </c>
      <c r="D135">
        <f t="shared" si="17"/>
        <v>23.554699638556695</v>
      </c>
      <c r="E135">
        <f t="shared" si="15"/>
        <v>0.39962439405122913</v>
      </c>
      <c r="F135">
        <f t="shared" si="16"/>
        <v>87.731552835063383</v>
      </c>
      <c r="G135">
        <f t="shared" si="9"/>
        <v>32.088426598253342</v>
      </c>
      <c r="H135">
        <f t="shared" si="10"/>
        <v>1020.8999784789609</v>
      </c>
      <c r="J135">
        <f t="shared" si="11"/>
        <v>1.7330661322645302</v>
      </c>
      <c r="K135">
        <f t="shared" si="12"/>
        <v>3.9753961715713415</v>
      </c>
      <c r="L135">
        <v>0</v>
      </c>
    </row>
    <row r="136" spans="1:12" x14ac:dyDescent="0.4">
      <c r="A136">
        <v>124</v>
      </c>
      <c r="B136">
        <f t="shared" si="13"/>
        <v>17.284569138276598</v>
      </c>
      <c r="C136">
        <f t="shared" si="14"/>
        <v>39.725061115320301</v>
      </c>
      <c r="D136">
        <f t="shared" si="17"/>
        <v>23.514094494964819</v>
      </c>
      <c r="E136">
        <f t="shared" si="15"/>
        <v>0.39897464936612537</v>
      </c>
      <c r="F136">
        <f t="shared" si="16"/>
        <v>87.689921762743069</v>
      </c>
      <c r="G136">
        <f t="shared" si="9"/>
        <v>32.087913633889123</v>
      </c>
      <c r="H136">
        <f t="shared" si="10"/>
        <v>1002.0325561530512</v>
      </c>
      <c r="J136">
        <f t="shared" si="11"/>
        <v>1.7284569138276598</v>
      </c>
      <c r="K136">
        <f t="shared" si="12"/>
        <v>3.9725061115320299</v>
      </c>
      <c r="L136">
        <v>0</v>
      </c>
    </row>
    <row r="137" spans="1:12" x14ac:dyDescent="0.4">
      <c r="A137">
        <v>125</v>
      </c>
      <c r="B137">
        <f t="shared" si="13"/>
        <v>17.238476953907799</v>
      </c>
      <c r="C137">
        <f t="shared" si="14"/>
        <v>39.696161089820869</v>
      </c>
      <c r="D137">
        <f t="shared" si="17"/>
        <v>23.47340481156861</v>
      </c>
      <c r="E137">
        <f t="shared" si="15"/>
        <v>0.39832335090468235</v>
      </c>
      <c r="F137">
        <f t="shared" si="16"/>
        <v>87.647824285722294</v>
      </c>
      <c r="G137">
        <f t="shared" si="9"/>
        <v>32.08720973707684</v>
      </c>
      <c r="H137">
        <f t="shared" si="10"/>
        <v>983.63932492796994</v>
      </c>
      <c r="J137">
        <f t="shared" si="11"/>
        <v>1.72384769539078</v>
      </c>
      <c r="K137">
        <f t="shared" si="12"/>
        <v>3.9696161089820867</v>
      </c>
      <c r="L137">
        <v>0</v>
      </c>
    </row>
    <row r="138" spans="1:12" x14ac:dyDescent="0.4">
      <c r="A138">
        <v>126</v>
      </c>
      <c r="B138">
        <f t="shared" si="13"/>
        <v>17.1923847695391</v>
      </c>
      <c r="C138">
        <f t="shared" si="14"/>
        <v>39.667261853188023</v>
      </c>
      <c r="D138">
        <f t="shared" si="17"/>
        <v>23.432630254917704</v>
      </c>
      <c r="E138">
        <f t="shared" si="15"/>
        <v>0.39767049240236446</v>
      </c>
      <c r="F138">
        <f t="shared" si="16"/>
        <v>87.605257685017392</v>
      </c>
      <c r="G138">
        <f t="shared" si="9"/>
        <v>32.08631371504984</v>
      </c>
      <c r="H138">
        <f t="shared" si="10"/>
        <v>965.70491391131156</v>
      </c>
      <c r="J138">
        <f t="shared" si="11"/>
        <v>1.71923847695391</v>
      </c>
      <c r="K138">
        <f t="shared" si="12"/>
        <v>3.9667261853188025</v>
      </c>
      <c r="L138">
        <v>0</v>
      </c>
    </row>
    <row r="139" spans="1:12" x14ac:dyDescent="0.4">
      <c r="A139">
        <v>127</v>
      </c>
      <c r="B139">
        <f t="shared" si="13"/>
        <v>17.146292585170301</v>
      </c>
      <c r="C139">
        <f t="shared" si="14"/>
        <v>39.638363620721485</v>
      </c>
      <c r="D139">
        <f t="shared" si="17"/>
        <v>23.391770490570423</v>
      </c>
      <c r="E139">
        <f t="shared" si="15"/>
        <v>0.39701606757376401</v>
      </c>
      <c r="F139">
        <f t="shared" si="16"/>
        <v>87.562219223160739</v>
      </c>
      <c r="G139">
        <f t="shared" si="9"/>
        <v>32.085224366295158</v>
      </c>
      <c r="H139">
        <f t="shared" si="10"/>
        <v>948.21456375398122</v>
      </c>
      <c r="J139">
        <f t="shared" si="11"/>
        <v>1.71462925851703</v>
      </c>
      <c r="K139">
        <f t="shared" si="12"/>
        <v>3.9638363620721484</v>
      </c>
      <c r="L139">
        <v>0</v>
      </c>
    </row>
    <row r="140" spans="1:12" x14ac:dyDescent="0.4">
      <c r="A140">
        <v>128</v>
      </c>
      <c r="B140">
        <f t="shared" si="13"/>
        <v>17.100200400801601</v>
      </c>
      <c r="C140">
        <f t="shared" si="14"/>
        <v>39.609466609054785</v>
      </c>
      <c r="D140">
        <f t="shared" si="17"/>
        <v>23.350825183099172</v>
      </c>
      <c r="E140">
        <f t="shared" si="15"/>
        <v>0.39636007011267976</v>
      </c>
      <c r="F140">
        <f t="shared" si="16"/>
        <v>87.518706144095091</v>
      </c>
      <c r="G140">
        <f t="shared" ref="G140:G203" si="18">IFERROR((-D140+F140)/2,IF($B$2-1=A140,G139,NA()))</f>
        <v>32.083940480497958</v>
      </c>
      <c r="H140">
        <f t="shared" ref="H140:H203" si="19">IF(A140="",NA(),B140+TAN(RADIANS(F140))*C140)</f>
        <v>931.15409782287895</v>
      </c>
      <c r="J140">
        <f t="shared" ref="J140:J203" si="20">IF(A140="",NA(),B140/10)</f>
        <v>1.7100200400801602</v>
      </c>
      <c r="K140">
        <f t="shared" ref="K140:K203" si="21">IF(A140="",NA(),C140/10)</f>
        <v>3.9609466609054786</v>
      </c>
      <c r="L140">
        <v>0</v>
      </c>
    </row>
    <row r="141" spans="1:12" x14ac:dyDescent="0.4">
      <c r="A141">
        <v>129</v>
      </c>
      <c r="B141">
        <f t="shared" ref="B141:B204" si="22">IFERROR(ROUND(-$B$6*(A141/($B$2-1)-1),20),IF($B$2-1=A141,0,NA()))</f>
        <v>17.054108216432901</v>
      </c>
      <c r="C141">
        <f t="shared" ref="C141:C204" si="23">IFERROR(C140-TAN(RADIANS(G140))*$B$3,IF($B$2-1=A141,C140,NA()))</f>
        <v>39.580571036162276</v>
      </c>
      <c r="D141">
        <f t="shared" si="17"/>
        <v>23.309793996094218</v>
      </c>
      <c r="E141">
        <f t="shared" ref="E141:E204" si="24">IF(A141="",NA(),SIN(RADIANS(D141)))</f>
        <v>0.39570249369216909</v>
      </c>
      <c r="F141">
        <f t="shared" ref="F141:F204" si="25">IF(A141="", NA(), 180-MEDIAN(90, 180, $F$4*D141^2 - ((90+$F$4*$B$4^2)/$B$4)*D141 + 180))</f>
        <v>87.474715673065518</v>
      </c>
      <c r="G141">
        <f t="shared" si="18"/>
        <v>32.082460838485652</v>
      </c>
      <c r="H141">
        <f t="shared" si="19"/>
        <v>914.50989494143505</v>
      </c>
      <c r="J141">
        <f t="shared" si="20"/>
        <v>1.7054108216432902</v>
      </c>
      <c r="K141">
        <f t="shared" si="21"/>
        <v>3.9580571036162278</v>
      </c>
      <c r="L141">
        <v>0</v>
      </c>
    </row>
    <row r="142" spans="1:12" x14ac:dyDescent="0.4">
      <c r="A142">
        <v>130</v>
      </c>
      <c r="B142">
        <f t="shared" si="22"/>
        <v>17.008016032064099</v>
      </c>
      <c r="C142">
        <f t="shared" si="23"/>
        <v>39.551677121366133</v>
      </c>
      <c r="D142">
        <f t="shared" ref="D142:D205" si="26">IF(A142="",NA(),DEGREES(ATAN(B142/C142)))</f>
        <v>23.268676592168863</v>
      </c>
      <c r="E142">
        <f t="shared" si="24"/>
        <v>0.39504333196462377</v>
      </c>
      <c r="F142">
        <f t="shared" si="25"/>
        <v>87.430245016512544</v>
      </c>
      <c r="G142">
        <f t="shared" si="18"/>
        <v>32.080784212171842</v>
      </c>
      <c r="H142">
        <f t="shared" si="19"/>
        <v>898.26886360281537</v>
      </c>
      <c r="J142">
        <f t="shared" si="20"/>
        <v>1.7008016032064099</v>
      </c>
      <c r="K142">
        <f t="shared" si="21"/>
        <v>3.9551677121366131</v>
      </c>
      <c r="L142">
        <v>0</v>
      </c>
    </row>
    <row r="143" spans="1:12" x14ac:dyDescent="0.4">
      <c r="A143">
        <v>131</v>
      </c>
      <c r="B143">
        <f t="shared" si="22"/>
        <v>16.961923847695399</v>
      </c>
      <c r="C143">
        <f t="shared" si="23"/>
        <v>39.522785085343351</v>
      </c>
      <c r="D143">
        <f t="shared" si="26"/>
        <v>23.227472632964766</v>
      </c>
      <c r="E143">
        <f t="shared" si="24"/>
        <v>0.39438257856184789</v>
      </c>
      <c r="F143">
        <f t="shared" si="25"/>
        <v>87.385291361965528</v>
      </c>
      <c r="G143">
        <f t="shared" si="18"/>
        <v>32.078909364500383</v>
      </c>
      <c r="H143">
        <f t="shared" si="19"/>
        <v>882.41841756531608</v>
      </c>
      <c r="J143">
        <f t="shared" si="20"/>
        <v>1.6961923847695399</v>
      </c>
      <c r="K143">
        <f t="shared" si="21"/>
        <v>3.9522785085343353</v>
      </c>
      <c r="L143">
        <v>0</v>
      </c>
    </row>
    <row r="144" spans="1:12" x14ac:dyDescent="0.4">
      <c r="A144">
        <v>132</v>
      </c>
      <c r="B144">
        <f t="shared" si="22"/>
        <v>16.915831663326699</v>
      </c>
      <c r="C144">
        <f t="shared" si="23"/>
        <v>39.493895150132758</v>
      </c>
      <c r="D144">
        <f t="shared" si="26"/>
        <v>23.186181779156321</v>
      </c>
      <c r="E144">
        <f t="shared" si="24"/>
        <v>0.39372022709512133</v>
      </c>
      <c r="F144">
        <f t="shared" si="25"/>
        <v>87.33985187793445</v>
      </c>
      <c r="G144">
        <f t="shared" si="18"/>
        <v>32.076835049389061</v>
      </c>
      <c r="H144">
        <f t="shared" si="19"/>
        <v>866.94645274546974</v>
      </c>
      <c r="J144">
        <f t="shared" si="20"/>
        <v>1.6915831663326699</v>
      </c>
      <c r="K144">
        <f t="shared" si="21"/>
        <v>3.9493895150132756</v>
      </c>
      <c r="L144">
        <v>0</v>
      </c>
    </row>
    <row r="145" spans="1:12" x14ac:dyDescent="0.4">
      <c r="A145">
        <v>133</v>
      </c>
      <c r="B145">
        <f t="shared" si="22"/>
        <v>16.8697394789579</v>
      </c>
      <c r="C145">
        <f t="shared" si="23"/>
        <v>39.465007539142043</v>
      </c>
      <c r="D145">
        <f t="shared" si="26"/>
        <v>23.144803690456342</v>
      </c>
      <c r="E145">
        <f t="shared" si="24"/>
        <v>0.39305627115528458</v>
      </c>
      <c r="F145">
        <f t="shared" si="25"/>
        <v>87.29392371380284</v>
      </c>
      <c r="G145">
        <f t="shared" si="18"/>
        <v>32.074560011673249</v>
      </c>
      <c r="H145">
        <f t="shared" si="19"/>
        <v>851.84132533166428</v>
      </c>
      <c r="J145">
        <f t="shared" si="20"/>
        <v>1.6869739478957899</v>
      </c>
      <c r="K145">
        <f t="shared" si="21"/>
        <v>3.9465007539142043</v>
      </c>
      <c r="L145">
        <v>0</v>
      </c>
    </row>
    <row r="146" spans="1:12" x14ac:dyDescent="0.4">
      <c r="A146">
        <v>134</v>
      </c>
      <c r="B146">
        <f t="shared" si="22"/>
        <v>16.8236472945892</v>
      </c>
      <c r="C146">
        <f t="shared" si="23"/>
        <v>39.436122477154747</v>
      </c>
      <c r="D146">
        <f t="shared" si="26"/>
        <v>23.103338025621895</v>
      </c>
      <c r="E146">
        <f t="shared" si="24"/>
        <v>0.39239070431282608</v>
      </c>
      <c r="F146">
        <f t="shared" si="25"/>
        <v>87.247503999720848</v>
      </c>
      <c r="G146">
        <f t="shared" si="18"/>
        <v>32.072082987049477</v>
      </c>
      <c r="H146">
        <f t="shared" si="19"/>
        <v>837.09183104482099</v>
      </c>
      <c r="J146">
        <f t="shared" si="20"/>
        <v>1.6823647294589201</v>
      </c>
      <c r="K146">
        <f t="shared" si="21"/>
        <v>3.9436122477154747</v>
      </c>
      <c r="L146">
        <v>0</v>
      </c>
    </row>
    <row r="147" spans="1:12" x14ac:dyDescent="0.4">
      <c r="A147">
        <v>135</v>
      </c>
      <c r="B147">
        <f t="shared" si="22"/>
        <v>16.777555110220401</v>
      </c>
      <c r="C147">
        <f t="shared" si="23"/>
        <v>39.407240190337298</v>
      </c>
      <c r="D147">
        <f t="shared" si="26"/>
        <v>23.061784442459114</v>
      </c>
      <c r="E147">
        <f t="shared" si="24"/>
        <v>0.39172352011795436</v>
      </c>
      <c r="F147">
        <f t="shared" si="25"/>
        <v>87.200589846496825</v>
      </c>
      <c r="G147">
        <f t="shared" si="18"/>
        <v>32.069402702018856</v>
      </c>
      <c r="H147">
        <f t="shared" si="19"/>
        <v>822.68718547774142</v>
      </c>
      <c r="J147">
        <f t="shared" si="20"/>
        <v>1.6777555110220401</v>
      </c>
      <c r="K147">
        <f t="shared" si="21"/>
        <v>3.9407240190337296</v>
      </c>
      <c r="L147">
        <v>0</v>
      </c>
    </row>
    <row r="148" spans="1:12" x14ac:dyDescent="0.4">
      <c r="A148">
        <v>136</v>
      </c>
      <c r="B148">
        <f t="shared" si="22"/>
        <v>16.731462925851702</v>
      </c>
      <c r="C148">
        <f t="shared" si="23"/>
        <v>39.378360906246023</v>
      </c>
      <c r="D148">
        <f t="shared" si="26"/>
        <v>23.020142597830009</v>
      </c>
      <c r="E148">
        <f t="shared" si="24"/>
        <v>0.39105471210070197</v>
      </c>
      <c r="F148">
        <f t="shared" si="25"/>
        <v>87.153178345490758</v>
      </c>
      <c r="G148">
        <f t="shared" si="18"/>
        <v>32.066517873830378</v>
      </c>
      <c r="H148">
        <f t="shared" si="19"/>
        <v>808.61700545038627</v>
      </c>
      <c r="J148">
        <f t="shared" si="20"/>
        <v>1.6731462925851701</v>
      </c>
      <c r="K148">
        <f t="shared" si="21"/>
        <v>3.9378360906246024</v>
      </c>
      <c r="L148">
        <v>0</v>
      </c>
    </row>
    <row r="149" spans="1:12" x14ac:dyDescent="0.4">
      <c r="A149">
        <v>137</v>
      </c>
      <c r="B149">
        <f t="shared" si="22"/>
        <v>16.685370741482998</v>
      </c>
      <c r="C149">
        <f t="shared" si="23"/>
        <v>39.34948485383417</v>
      </c>
      <c r="D149">
        <f t="shared" si="26"/>
        <v>22.978412147657618</v>
      </c>
      <c r="E149">
        <f t="shared" si="24"/>
        <v>0.39038427377100332</v>
      </c>
      <c r="F149">
        <f t="shared" si="25"/>
        <v>87.105266568505954</v>
      </c>
      <c r="G149">
        <f t="shared" si="18"/>
        <v>32.063427210424166</v>
      </c>
      <c r="H149">
        <f t="shared" si="19"/>
        <v>794.8712913207404</v>
      </c>
      <c r="J149">
        <f t="shared" si="20"/>
        <v>1.6685370741482999</v>
      </c>
      <c r="K149">
        <f t="shared" si="21"/>
        <v>3.9349484853834169</v>
      </c>
      <c r="L149">
        <v>0</v>
      </c>
    </row>
    <row r="150" spans="1:12" x14ac:dyDescent="0.4">
      <c r="A150">
        <v>138</v>
      </c>
      <c r="B150">
        <f t="shared" si="22"/>
        <v>16.639278557114199</v>
      </c>
      <c r="C150">
        <f t="shared" si="23"/>
        <v>39.320612263458905</v>
      </c>
      <c r="D150">
        <f t="shared" si="26"/>
        <v>22.936592746932593</v>
      </c>
      <c r="E150">
        <f t="shared" si="24"/>
        <v>0.38971219861879636</v>
      </c>
      <c r="F150">
        <f t="shared" si="25"/>
        <v>87.056851567681889</v>
      </c>
      <c r="G150">
        <f t="shared" si="18"/>
        <v>32.06012941037465</v>
      </c>
      <c r="H150">
        <f t="shared" si="19"/>
        <v>781.44041019654185</v>
      </c>
      <c r="J150">
        <f t="shared" si="20"/>
        <v>1.6639278557114199</v>
      </c>
      <c r="K150">
        <f t="shared" si="21"/>
        <v>3.9320612263458905</v>
      </c>
      <c r="L150">
        <v>0</v>
      </c>
    </row>
    <row r="151" spans="1:12" x14ac:dyDescent="0.4">
      <c r="A151">
        <v>139</v>
      </c>
      <c r="B151">
        <f t="shared" si="22"/>
        <v>16.5931863727455</v>
      </c>
      <c r="C151">
        <f t="shared" si="23"/>
        <v>39.291743366888348</v>
      </c>
      <c r="D151">
        <f t="shared" si="26"/>
        <v>22.894684049719967</v>
      </c>
      <c r="E151">
        <f t="shared" si="24"/>
        <v>0.38903848011412756</v>
      </c>
      <c r="F151">
        <f t="shared" si="25"/>
        <v>87.007930375387062</v>
      </c>
      <c r="G151">
        <f t="shared" si="18"/>
        <v>32.056623162833546</v>
      </c>
      <c r="H151">
        <f t="shared" si="19"/>
        <v>768.31507999557459</v>
      </c>
      <c r="J151">
        <f t="shared" si="20"/>
        <v>1.6593186372745499</v>
      </c>
      <c r="K151">
        <f t="shared" si="21"/>
        <v>3.9291743366888348</v>
      </c>
      <c r="L151">
        <v>0</v>
      </c>
    </row>
    <row r="152" spans="1:12" x14ac:dyDescent="0.4">
      <c r="A152">
        <v>140</v>
      </c>
      <c r="B152">
        <f t="shared" si="22"/>
        <v>16.5470941883768</v>
      </c>
      <c r="C152">
        <f t="shared" si="23"/>
        <v>39.262878397308583</v>
      </c>
      <c r="D152">
        <f t="shared" si="26"/>
        <v>22.85268570916498</v>
      </c>
      <c r="E152">
        <f t="shared" si="24"/>
        <v>0.38836311170724191</v>
      </c>
      <c r="F152">
        <f t="shared" si="25"/>
        <v>86.95850000411086</v>
      </c>
      <c r="G152">
        <f t="shared" si="18"/>
        <v>32.052907147472936</v>
      </c>
      <c r="H152">
        <f t="shared" si="19"/>
        <v>755.48635430575223</v>
      </c>
      <c r="J152">
        <f t="shared" si="20"/>
        <v>1.6547094188376801</v>
      </c>
      <c r="K152">
        <f t="shared" si="21"/>
        <v>3.9262878397308585</v>
      </c>
      <c r="L152">
        <v>0</v>
      </c>
    </row>
    <row r="153" spans="1:12" x14ac:dyDescent="0.4">
      <c r="A153">
        <v>141</v>
      </c>
      <c r="B153">
        <f t="shared" si="22"/>
        <v>16.501002004008001</v>
      </c>
      <c r="C153">
        <f t="shared" si="23"/>
        <v>39.234017589330648</v>
      </c>
      <c r="D153">
        <f t="shared" si="26"/>
        <v>22.810597377500265</v>
      </c>
      <c r="E153">
        <f t="shared" si="24"/>
        <v>0.38768608682869576</v>
      </c>
      <c r="F153">
        <f t="shared" si="25"/>
        <v>86.908557446356312</v>
      </c>
      <c r="G153">
        <f t="shared" si="18"/>
        <v>32.048980034428027</v>
      </c>
      <c r="H153">
        <f t="shared" si="19"/>
        <v>742.94560799995827</v>
      </c>
      <c r="J153">
        <f t="shared" si="20"/>
        <v>1.6501002004008001</v>
      </c>
      <c r="K153">
        <f t="shared" si="21"/>
        <v>3.923401758933065</v>
      </c>
      <c r="L153">
        <v>0</v>
      </c>
    </row>
    <row r="154" spans="1:12" x14ac:dyDescent="0.4">
      <c r="A154">
        <v>142</v>
      </c>
      <c r="B154">
        <f t="shared" si="22"/>
        <v>16.454909819639301</v>
      </c>
      <c r="C154">
        <f t="shared" si="23"/>
        <v>39.205161178997564</v>
      </c>
      <c r="D154">
        <f t="shared" si="26"/>
        <v>22.768418706053168</v>
      </c>
      <c r="E154">
        <f t="shared" si="24"/>
        <v>0.38700739888947194</v>
      </c>
      <c r="F154">
        <f t="shared" si="25"/>
        <v>86.858099674533548</v>
      </c>
      <c r="G154">
        <f t="shared" si="18"/>
        <v>32.04484048424019</v>
      </c>
      <c r="H154">
        <f t="shared" si="19"/>
        <v>730.68452356297144</v>
      </c>
      <c r="J154">
        <f t="shared" si="20"/>
        <v>1.6454909819639301</v>
      </c>
      <c r="K154">
        <f t="shared" si="21"/>
        <v>3.9205161178997563</v>
      </c>
      <c r="L154">
        <v>0</v>
      </c>
    </row>
    <row r="155" spans="1:12" x14ac:dyDescent="0.4">
      <c r="A155">
        <v>143</v>
      </c>
      <c r="B155">
        <f t="shared" si="22"/>
        <v>16.408817635270498</v>
      </c>
      <c r="C155">
        <f t="shared" si="23"/>
        <v>39.176309403791315</v>
      </c>
      <c r="D155">
        <f t="shared" si="26"/>
        <v>22.726149345252072</v>
      </c>
      <c r="E155">
        <f t="shared" si="24"/>
        <v>0.38632704128107953</v>
      </c>
      <c r="F155">
        <f t="shared" si="25"/>
        <v>86.807123640851216</v>
      </c>
      <c r="G155">
        <f t="shared" si="18"/>
        <v>32.040487147799574</v>
      </c>
      <c r="H155">
        <f t="shared" si="19"/>
        <v>718.6950780899449</v>
      </c>
      <c r="J155">
        <f t="shared" si="20"/>
        <v>1.6408817635270498</v>
      </c>
      <c r="K155">
        <f t="shared" si="21"/>
        <v>3.9176309403791314</v>
      </c>
      <c r="L155">
        <v>0</v>
      </c>
    </row>
    <row r="156" spans="1:12" x14ac:dyDescent="0.4">
      <c r="A156">
        <v>144</v>
      </c>
      <c r="B156">
        <f t="shared" si="22"/>
        <v>16.362725450901799</v>
      </c>
      <c r="C156">
        <f t="shared" si="23"/>
        <v>39.147462502639854</v>
      </c>
      <c r="D156">
        <f t="shared" si="26"/>
        <v>22.683788944634788</v>
      </c>
      <c r="E156">
        <f t="shared" si="24"/>
        <v>0.38564500737568752</v>
      </c>
      <c r="F156">
        <f t="shared" si="25"/>
        <v>86.755626277210638</v>
      </c>
      <c r="G156">
        <f t="shared" si="18"/>
        <v>32.035918666287927</v>
      </c>
      <c r="H156">
        <f t="shared" si="19"/>
        <v>706.96953092010142</v>
      </c>
      <c r="J156">
        <f t="shared" si="20"/>
        <v>1.6362725450901798</v>
      </c>
      <c r="K156">
        <f t="shared" si="21"/>
        <v>3.9147462502639856</v>
      </c>
      <c r="L156">
        <v>0</v>
      </c>
    </row>
    <row r="157" spans="1:12" x14ac:dyDescent="0.4">
      <c r="A157">
        <v>145</v>
      </c>
      <c r="B157">
        <f t="shared" si="22"/>
        <v>16.316633266533099</v>
      </c>
      <c r="C157">
        <f t="shared" si="23"/>
        <v>39.118620715924088</v>
      </c>
      <c r="D157">
        <f t="shared" si="26"/>
        <v>22.64133715285525</v>
      </c>
      <c r="E157">
        <f t="shared" si="24"/>
        <v>0.38496129052623151</v>
      </c>
      <c r="F157">
        <f t="shared" si="25"/>
        <v>86.70360449509792</v>
      </c>
      <c r="G157">
        <f t="shared" si="18"/>
        <v>32.031133671121339</v>
      </c>
      <c r="H157">
        <f t="shared" si="19"/>
        <v>695.50041186948067</v>
      </c>
      <c r="J157">
        <f t="shared" si="20"/>
        <v>1.6316633266533098</v>
      </c>
      <c r="K157">
        <f t="shared" si="21"/>
        <v>3.9118620715924086</v>
      </c>
      <c r="L157">
        <v>0</v>
      </c>
    </row>
    <row r="158" spans="1:12" x14ac:dyDescent="0.4">
      <c r="A158">
        <v>146</v>
      </c>
      <c r="B158">
        <f t="shared" si="22"/>
        <v>16.2705410821643</v>
      </c>
      <c r="C158">
        <f t="shared" si="23"/>
        <v>39.089784285484853</v>
      </c>
      <c r="D158">
        <f t="shared" si="26"/>
        <v>22.59879361769169</v>
      </c>
      <c r="E158">
        <f t="shared" si="24"/>
        <v>0.384275884066545</v>
      </c>
      <c r="F158">
        <f t="shared" si="25"/>
        <v>86.651055185477134</v>
      </c>
      <c r="G158">
        <f t="shared" si="18"/>
        <v>32.026130783892725</v>
      </c>
      <c r="H158">
        <f t="shared" si="19"/>
        <v>684.28051003050621</v>
      </c>
      <c r="J158">
        <f t="shared" si="20"/>
        <v>1.62705410821643</v>
      </c>
      <c r="K158">
        <f t="shared" si="21"/>
        <v>3.9089784285484854</v>
      </c>
      <c r="L158">
        <v>0</v>
      </c>
    </row>
    <row r="159" spans="1:12" x14ac:dyDescent="0.4">
      <c r="A159">
        <v>147</v>
      </c>
      <c r="B159">
        <f t="shared" si="22"/>
        <v>16.2244488977956</v>
      </c>
      <c r="C159">
        <f t="shared" si="23"/>
        <v>39.060953454629882</v>
      </c>
      <c r="D159">
        <f t="shared" si="26"/>
        <v>22.556157986055055</v>
      </c>
      <c r="E159">
        <f t="shared" si="24"/>
        <v>0.38358878131149488</v>
      </c>
      <c r="F159">
        <f t="shared" si="25"/>
        <v>86.597975218684581</v>
      </c>
      <c r="G159">
        <f t="shared" si="18"/>
        <v>32.020908616314763</v>
      </c>
      <c r="H159">
        <f t="shared" si="19"/>
        <v>673.30286310741576</v>
      </c>
      <c r="J159">
        <f t="shared" si="20"/>
        <v>1.62244488977956</v>
      </c>
      <c r="K159">
        <f t="shared" si="21"/>
        <v>3.9060953454629881</v>
      </c>
      <c r="L159">
        <v>0</v>
      </c>
    </row>
    <row r="160" spans="1:12" x14ac:dyDescent="0.4">
      <c r="A160">
        <v>148</v>
      </c>
      <c r="B160">
        <f t="shared" si="22"/>
        <v>16.178356713426901</v>
      </c>
      <c r="C160">
        <f t="shared" si="23"/>
        <v>39.03212846814079</v>
      </c>
      <c r="D160">
        <f t="shared" si="26"/>
        <v>22.513429903996439</v>
      </c>
      <c r="E160">
        <f t="shared" si="24"/>
        <v>0.38289997555710165</v>
      </c>
      <c r="F160">
        <f t="shared" si="25"/>
        <v>86.54436144432087</v>
      </c>
      <c r="G160">
        <f t="shared" si="18"/>
        <v>32.015465770162216</v>
      </c>
      <c r="H160">
        <f t="shared" si="19"/>
        <v>662.56074725790245</v>
      </c>
      <c r="J160">
        <f t="shared" si="20"/>
        <v>1.61783567134269</v>
      </c>
      <c r="K160">
        <f t="shared" si="21"/>
        <v>3.9032128468140792</v>
      </c>
      <c r="L160">
        <v>0</v>
      </c>
    </row>
    <row r="161" spans="1:12" x14ac:dyDescent="0.4">
      <c r="A161">
        <v>149</v>
      </c>
      <c r="B161">
        <f t="shared" si="22"/>
        <v>16.132264529058101</v>
      </c>
      <c r="C161">
        <f t="shared" si="23"/>
        <v>39.003309572279996</v>
      </c>
      <c r="D161">
        <f t="shared" si="26"/>
        <v>22.47060901671594</v>
      </c>
      <c r="E161">
        <f t="shared" si="24"/>
        <v>0.38220946008068374</v>
      </c>
      <c r="F161">
        <f t="shared" si="25"/>
        <v>86.490210691145307</v>
      </c>
      <c r="G161">
        <f t="shared" si="18"/>
        <v>32.009800837214684</v>
      </c>
      <c r="H161">
        <f t="shared" si="19"/>
        <v>652.04766741457627</v>
      </c>
      <c r="J161">
        <f t="shared" si="20"/>
        <v>1.6132264529058102</v>
      </c>
      <c r="K161">
        <f t="shared" si="21"/>
        <v>3.9003309572279994</v>
      </c>
      <c r="L161">
        <v>0</v>
      </c>
    </row>
    <row r="162" spans="1:12" x14ac:dyDescent="0.4">
      <c r="A162">
        <v>150</v>
      </c>
      <c r="B162">
        <f t="shared" si="22"/>
        <v>16.086172344689398</v>
      </c>
      <c r="C162">
        <f t="shared" si="23"/>
        <v>38.974497014797677</v>
      </c>
      <c r="D162">
        <f t="shared" si="26"/>
        <v>22.427694968571672</v>
      </c>
      <c r="E162">
        <f t="shared" si="24"/>
        <v>0.38151722814100392</v>
      </c>
      <c r="F162">
        <f t="shared" si="25"/>
        <v>86.435519766970231</v>
      </c>
      <c r="G162">
        <f t="shared" si="18"/>
        <v>32.00391239919928</v>
      </c>
      <c r="H162">
        <f t="shared" si="19"/>
        <v>641.75734806011405</v>
      </c>
      <c r="J162">
        <f t="shared" si="20"/>
        <v>1.6086172344689398</v>
      </c>
      <c r="K162">
        <f t="shared" si="21"/>
        <v>3.8974497014797675</v>
      </c>
      <c r="L162">
        <v>0</v>
      </c>
    </row>
    <row r="163" spans="1:12" x14ac:dyDescent="0.4">
      <c r="A163">
        <v>151</v>
      </c>
      <c r="B163">
        <f t="shared" si="22"/>
        <v>16.040080160320599</v>
      </c>
      <c r="C163">
        <f t="shared" si="23"/>
        <v>38.945691044938705</v>
      </c>
      <c r="D163">
        <f t="shared" si="26"/>
        <v>22.384687403087817</v>
      </c>
      <c r="E163">
        <f t="shared" si="24"/>
        <v>0.38082327297840185</v>
      </c>
      <c r="F163">
        <f t="shared" si="25"/>
        <v>86.380285458554027</v>
      </c>
      <c r="G163">
        <f t="shared" si="18"/>
        <v>31.997799027733105</v>
      </c>
      <c r="H163">
        <f t="shared" si="19"/>
        <v>631.68372443180613</v>
      </c>
      <c r="J163">
        <f t="shared" si="20"/>
        <v>1.60400801603206</v>
      </c>
      <c r="K163">
        <f t="shared" si="21"/>
        <v>3.8945691044938706</v>
      </c>
      <c r="L163">
        <v>0</v>
      </c>
    </row>
    <row r="164" spans="1:12" x14ac:dyDescent="0.4">
      <c r="A164">
        <v>152</v>
      </c>
      <c r="B164">
        <f t="shared" si="22"/>
        <v>15.993987975951899</v>
      </c>
      <c r="C164">
        <f t="shared" si="23"/>
        <v>38.916891913449547</v>
      </c>
      <c r="D164">
        <f t="shared" si="26"/>
        <v>22.341585962964707</v>
      </c>
      <c r="E164">
        <f t="shared" si="24"/>
        <v>0.38012758781495926</v>
      </c>
      <c r="F164">
        <f t="shared" si="25"/>
        <v>86.324504531496672</v>
      </c>
      <c r="G164">
        <f t="shared" si="18"/>
        <v>31.991459284265982</v>
      </c>
      <c r="H164">
        <f t="shared" si="19"/>
        <v>621.8209341334923</v>
      </c>
      <c r="J164">
        <f t="shared" si="20"/>
        <v>1.59939879759519</v>
      </c>
      <c r="K164">
        <f t="shared" si="21"/>
        <v>3.8916891913449545</v>
      </c>
      <c r="L164">
        <v>0</v>
      </c>
    </row>
    <row r="165" spans="1:12" x14ac:dyDescent="0.4">
      <c r="A165">
        <v>153</v>
      </c>
      <c r="B165">
        <f t="shared" si="22"/>
        <v>15.9478957915832</v>
      </c>
      <c r="C165">
        <f t="shared" si="23"/>
        <v>38.888099872585187</v>
      </c>
      <c r="D165">
        <f t="shared" si="26"/>
        <v>22.298390290087315</v>
      </c>
      <c r="E165">
        <f t="shared" si="24"/>
        <v>0.37943016585464034</v>
      </c>
      <c r="F165">
        <f t="shared" si="25"/>
        <v>86.268173730133469</v>
      </c>
      <c r="G165">
        <f t="shared" si="18"/>
        <v>31.984891720023079</v>
      </c>
      <c r="H165">
        <f t="shared" si="19"/>
        <v>612.16330913277739</v>
      </c>
      <c r="J165">
        <f t="shared" si="20"/>
        <v>1.59478957915832</v>
      </c>
      <c r="K165">
        <f t="shared" si="21"/>
        <v>3.8888099872585187</v>
      </c>
      <c r="L165">
        <v>0</v>
      </c>
    </row>
    <row r="166" spans="1:12" x14ac:dyDescent="0.4">
      <c r="A166">
        <v>154</v>
      </c>
      <c r="B166">
        <f t="shared" si="22"/>
        <v>15.901803607214401</v>
      </c>
      <c r="C166">
        <f t="shared" si="23"/>
        <v>38.859315176115985</v>
      </c>
      <c r="D166">
        <f t="shared" si="26"/>
        <v>22.255100025535221</v>
      </c>
      <c r="E166">
        <f t="shared" si="24"/>
        <v>0.37873100028345685</v>
      </c>
      <c r="F166">
        <f t="shared" si="25"/>
        <v>86.211289777430494</v>
      </c>
      <c r="G166">
        <f t="shared" si="18"/>
        <v>31.978094875947637</v>
      </c>
      <c r="H166">
        <f t="shared" si="19"/>
        <v>602.70536812405862</v>
      </c>
      <c r="J166">
        <f t="shared" si="20"/>
        <v>1.59018036072144</v>
      </c>
      <c r="K166">
        <f t="shared" si="21"/>
        <v>3.8859315176115983</v>
      </c>
      <c r="L166">
        <v>0</v>
      </c>
    </row>
    <row r="167" spans="1:12" x14ac:dyDescent="0.4">
      <c r="A167">
        <v>155</v>
      </c>
      <c r="B167">
        <f t="shared" si="22"/>
        <v>15.855711422845699</v>
      </c>
      <c r="C167">
        <f t="shared" si="23"/>
        <v>38.830538079334566</v>
      </c>
      <c r="D167">
        <f t="shared" si="26"/>
        <v>22.211714809592788</v>
      </c>
      <c r="E167">
        <f t="shared" si="24"/>
        <v>0.37803008426963686</v>
      </c>
      <c r="F167">
        <f t="shared" si="25"/>
        <v>86.153849374880281</v>
      </c>
      <c r="G167">
        <f t="shared" si="18"/>
        <v>31.971067282643745</v>
      </c>
      <c r="H167">
        <f t="shared" si="19"/>
        <v>593.44180923814929</v>
      </c>
      <c r="J167">
        <f t="shared" si="20"/>
        <v>1.58557114228457</v>
      </c>
      <c r="K167">
        <f t="shared" si="21"/>
        <v>3.8830538079334564</v>
      </c>
      <c r="L167">
        <v>0</v>
      </c>
    </row>
    <row r="168" spans="1:12" x14ac:dyDescent="0.4">
      <c r="A168">
        <v>156</v>
      </c>
      <c r="B168">
        <f t="shared" si="22"/>
        <v>15.809619238477</v>
      </c>
      <c r="C168">
        <f t="shared" si="23"/>
        <v>38.801768839062674</v>
      </c>
      <c r="D168">
        <f t="shared" si="26"/>
        <v>22.168234281758505</v>
      </c>
      <c r="E168">
        <f t="shared" si="24"/>
        <v>0.37732741096378059</v>
      </c>
      <c r="F168">
        <f t="shared" si="25"/>
        <v>86.09584920239655</v>
      </c>
      <c r="G168">
        <f t="shared" si="18"/>
        <v>31.963807460319025</v>
      </c>
      <c r="H168">
        <f t="shared" si="19"/>
        <v>584.36750308053831</v>
      </c>
      <c r="J168">
        <f t="shared" si="20"/>
        <v>1.5809619238477</v>
      </c>
      <c r="K168">
        <f t="shared" si="21"/>
        <v>3.8801768839062674</v>
      </c>
      <c r="L168">
        <v>0</v>
      </c>
    </row>
    <row r="169" spans="1:12" x14ac:dyDescent="0.4">
      <c r="A169">
        <v>157</v>
      </c>
      <c r="B169">
        <f t="shared" si="22"/>
        <v>15.7635270541082</v>
      </c>
      <c r="C169">
        <f t="shared" si="23"/>
        <v>38.773007713658011</v>
      </c>
      <c r="D169">
        <f t="shared" si="26"/>
        <v>22.124658080755619</v>
      </c>
      <c r="E169">
        <f t="shared" si="24"/>
        <v>0.3766229734990385</v>
      </c>
      <c r="F169">
        <f t="shared" si="25"/>
        <v>86.037285918210813</v>
      </c>
      <c r="G169">
        <f t="shared" si="18"/>
        <v>31.956313918727595</v>
      </c>
      <c r="H169">
        <f t="shared" si="19"/>
        <v>575.47748608185293</v>
      </c>
      <c r="J169">
        <f t="shared" si="20"/>
        <v>1.57635270541082</v>
      </c>
      <c r="K169">
        <f t="shared" si="21"/>
        <v>3.877300771365801</v>
      </c>
      <c r="L169">
        <v>0</v>
      </c>
    </row>
    <row r="170" spans="1:12" x14ac:dyDescent="0.4">
      <c r="A170">
        <v>158</v>
      </c>
      <c r="B170">
        <f t="shared" si="22"/>
        <v>15.717434869739501</v>
      </c>
      <c r="C170">
        <f t="shared" si="23"/>
        <v>38.744254963021028</v>
      </c>
      <c r="D170">
        <f t="shared" si="26"/>
        <v>22.080985844543115</v>
      </c>
      <c r="E170">
        <f t="shared" si="24"/>
        <v>0.375916764991295</v>
      </c>
      <c r="F170">
        <f t="shared" si="25"/>
        <v>85.978156158769252</v>
      </c>
      <c r="G170">
        <f t="shared" si="18"/>
        <v>31.948585157113069</v>
      </c>
      <c r="H170">
        <f t="shared" si="19"/>
        <v>566.76695414448739</v>
      </c>
      <c r="J170">
        <f t="shared" si="20"/>
        <v>1.5717434869739502</v>
      </c>
      <c r="K170">
        <f t="shared" si="21"/>
        <v>3.874425496302103</v>
      </c>
      <c r="L170">
        <v>0</v>
      </c>
    </row>
    <row r="171" spans="1:12" x14ac:dyDescent="0.4">
      <c r="A171">
        <v>159</v>
      </c>
      <c r="B171">
        <f t="shared" si="22"/>
        <v>15.6713426853707</v>
      </c>
      <c r="C171">
        <f t="shared" si="23"/>
        <v>38.715510848601745</v>
      </c>
      <c r="D171">
        <f t="shared" si="26"/>
        <v>22.037217210325608</v>
      </c>
      <c r="E171">
        <f t="shared" si="24"/>
        <v>0.37520877853933521</v>
      </c>
      <c r="F171">
        <f t="shared" si="25"/>
        <v>85.918456538628405</v>
      </c>
      <c r="G171">
        <f t="shared" si="18"/>
        <v>31.940619664151399</v>
      </c>
      <c r="H171">
        <f t="shared" si="19"/>
        <v>558.23125657018682</v>
      </c>
      <c r="J171">
        <f t="shared" si="20"/>
        <v>1.5671342685370699</v>
      </c>
      <c r="K171">
        <f t="shared" si="21"/>
        <v>3.8715510848601746</v>
      </c>
      <c r="L171">
        <v>0</v>
      </c>
    </row>
    <row r="172" spans="1:12" x14ac:dyDescent="0.4">
      <c r="A172">
        <v>160</v>
      </c>
      <c r="B172">
        <f t="shared" si="22"/>
        <v>15.625250501002</v>
      </c>
      <c r="C172">
        <f t="shared" si="23"/>
        <v>38.686775633406533</v>
      </c>
      <c r="D172">
        <f t="shared" si="26"/>
        <v>21.993351814565404</v>
      </c>
      <c r="E172">
        <f t="shared" si="24"/>
        <v>0.37449900722504836</v>
      </c>
      <c r="F172">
        <f t="shared" si="25"/>
        <v>85.858183650353794</v>
      </c>
      <c r="G172">
        <f t="shared" si="18"/>
        <v>31.932415917894197</v>
      </c>
      <c r="H172">
        <f t="shared" si="19"/>
        <v>549.86589025509602</v>
      </c>
      <c r="J172">
        <f t="shared" si="20"/>
        <v>1.5625250501001999</v>
      </c>
      <c r="K172">
        <f t="shared" si="21"/>
        <v>3.8686775633406532</v>
      </c>
      <c r="L172">
        <v>0</v>
      </c>
    </row>
    <row r="173" spans="1:12" x14ac:dyDescent="0.4">
      <c r="A173">
        <v>161</v>
      </c>
      <c r="B173">
        <f t="shared" si="22"/>
        <v>15.579158316633301</v>
      </c>
      <c r="C173">
        <f t="shared" si="23"/>
        <v>38.658049582004836</v>
      </c>
      <c r="D173">
        <f t="shared" si="26"/>
        <v>21.949389292992951</v>
      </c>
      <c r="E173">
        <f t="shared" si="24"/>
        <v>0.37378744411360459</v>
      </c>
      <c r="F173">
        <f t="shared" si="25"/>
        <v>85.79733406441666</v>
      </c>
      <c r="G173">
        <f t="shared" si="18"/>
        <v>31.923972385711856</v>
      </c>
      <c r="H173">
        <f t="shared" si="19"/>
        <v>541.66649413827918</v>
      </c>
      <c r="J173">
        <f t="shared" si="20"/>
        <v>1.5579158316633301</v>
      </c>
      <c r="K173">
        <f t="shared" si="21"/>
        <v>3.8658049582004836</v>
      </c>
      <c r="L173">
        <v>0</v>
      </c>
    </row>
    <row r="174" spans="1:12" x14ac:dyDescent="0.4">
      <c r="A174">
        <v>162</v>
      </c>
      <c r="B174">
        <f t="shared" si="22"/>
        <v>15.5330661322645</v>
      </c>
      <c r="C174">
        <f t="shared" si="23"/>
        <v>38.629332960535926</v>
      </c>
      <c r="D174">
        <f t="shared" si="26"/>
        <v>21.905329280618762</v>
      </c>
      <c r="E174">
        <f t="shared" si="24"/>
        <v>0.37307408225365762</v>
      </c>
      <c r="F174">
        <f t="shared" si="25"/>
        <v>85.735904329092506</v>
      </c>
      <c r="G174">
        <f t="shared" si="18"/>
        <v>31.915287524236874</v>
      </c>
      <c r="H174">
        <f t="shared" si="19"/>
        <v>533.62884389162105</v>
      </c>
      <c r="J174">
        <f t="shared" si="20"/>
        <v>1.5533066132264499</v>
      </c>
      <c r="K174">
        <f t="shared" si="21"/>
        <v>3.8629332960535927</v>
      </c>
      <c r="L174">
        <v>0</v>
      </c>
    </row>
    <row r="175" spans="1:12" x14ac:dyDescent="0.4">
      <c r="A175">
        <v>163</v>
      </c>
      <c r="B175">
        <f t="shared" si="22"/>
        <v>15.4869739478958</v>
      </c>
      <c r="C175">
        <f t="shared" si="23"/>
        <v>38.600626036715596</v>
      </c>
      <c r="D175">
        <f t="shared" si="26"/>
        <v>21.861171411745655</v>
      </c>
      <c r="E175">
        <f t="shared" si="24"/>
        <v>0.37235891467755228</v>
      </c>
      <c r="F175">
        <f t="shared" si="25"/>
        <v>85.673890970360716</v>
      </c>
      <c r="G175">
        <f t="shared" si="18"/>
        <v>31.906359779307529</v>
      </c>
      <c r="H175">
        <f t="shared" si="19"/>
        <v>525.74884683913524</v>
      </c>
      <c r="J175">
        <f t="shared" si="20"/>
        <v>1.5486973947895799</v>
      </c>
      <c r="K175">
        <f t="shared" si="21"/>
        <v>3.8600626036715595</v>
      </c>
      <c r="L175">
        <v>0</v>
      </c>
    </row>
    <row r="176" spans="1:12" x14ac:dyDescent="0.4">
      <c r="A176">
        <v>164</v>
      </c>
      <c r="B176">
        <f t="shared" si="22"/>
        <v>15.4408817635271</v>
      </c>
      <c r="C176">
        <f t="shared" si="23"/>
        <v>38.571929079842839</v>
      </c>
      <c r="D176">
        <f t="shared" si="26"/>
        <v>21.816915319980097</v>
      </c>
      <c r="E176">
        <f t="shared" si="24"/>
        <v>0.37164193440151905</v>
      </c>
      <c r="F176">
        <f t="shared" si="25"/>
        <v>85.611290491802677</v>
      </c>
      <c r="G176">
        <f t="shared" si="18"/>
        <v>31.89718758591129</v>
      </c>
      <c r="H176">
        <f t="shared" si="19"/>
        <v>518.02253709412435</v>
      </c>
      <c r="J176">
        <f t="shared" si="20"/>
        <v>1.5440881763527101</v>
      </c>
      <c r="K176">
        <f t="shared" si="21"/>
        <v>3.8571929079842837</v>
      </c>
      <c r="L176">
        <v>0</v>
      </c>
    </row>
    <row r="177" spans="1:12" x14ac:dyDescent="0.4">
      <c r="A177">
        <v>165</v>
      </c>
      <c r="B177">
        <f t="shared" si="22"/>
        <v>15.394789579158299</v>
      </c>
      <c r="C177">
        <f t="shared" si="23"/>
        <v>38.543242360806502</v>
      </c>
      <c r="D177">
        <f t="shared" si="26"/>
        <v>21.772560638244926</v>
      </c>
      <c r="E177">
        <f t="shared" si="24"/>
        <v>0.37092313442589087</v>
      </c>
      <c r="F177">
        <f t="shared" si="25"/>
        <v>85.5480993745022</v>
      </c>
      <c r="G177">
        <f t="shared" si="18"/>
        <v>31.887769368128637</v>
      </c>
      <c r="H177">
        <f t="shared" si="19"/>
        <v>510.44607090406134</v>
      </c>
      <c r="J177">
        <f t="shared" si="20"/>
        <v>1.5394789579158299</v>
      </c>
      <c r="K177">
        <f t="shared" si="21"/>
        <v>3.8543242360806502</v>
      </c>
      <c r="L177">
        <v>0</v>
      </c>
    </row>
    <row r="178" spans="1:12" x14ac:dyDescent="0.4">
      <c r="A178">
        <v>166</v>
      </c>
      <c r="B178">
        <f t="shared" si="22"/>
        <v>15.3486973947896</v>
      </c>
      <c r="C178">
        <f t="shared" si="23"/>
        <v>38.514566152091909</v>
      </c>
      <c r="D178">
        <f t="shared" si="26"/>
        <v>21.728106998792416</v>
      </c>
      <c r="E178">
        <f t="shared" si="24"/>
        <v>0.37020250773532737</v>
      </c>
      <c r="F178">
        <f t="shared" si="25"/>
        <v>85.484314076946816</v>
      </c>
      <c r="G178">
        <f t="shared" si="18"/>
        <v>31.878103539077202</v>
      </c>
      <c r="H178">
        <f t="shared" si="19"/>
        <v>503.01572219294337</v>
      </c>
      <c r="J178">
        <f t="shared" si="20"/>
        <v>1.5348697394789599</v>
      </c>
      <c r="K178">
        <f t="shared" si="21"/>
        <v>3.8514566152091909</v>
      </c>
      <c r="L178">
        <v>0</v>
      </c>
    </row>
    <row r="179" spans="1:12" x14ac:dyDescent="0.4">
      <c r="A179">
        <v>167</v>
      </c>
      <c r="B179">
        <f t="shared" si="22"/>
        <v>15.302605210420801</v>
      </c>
      <c r="C179">
        <f t="shared" si="23"/>
        <v>38.485900727787445</v>
      </c>
      <c r="D179">
        <f t="shared" si="26"/>
        <v>21.683554033216303</v>
      </c>
      <c r="E179">
        <f t="shared" si="24"/>
        <v>0.36948004729902206</v>
      </c>
      <c r="F179">
        <f t="shared" si="25"/>
        <v>85.419931034927544</v>
      </c>
      <c r="G179">
        <f t="shared" si="18"/>
        <v>31.86818850085562</v>
      </c>
      <c r="H179">
        <f t="shared" si="19"/>
        <v>495.7278782913786</v>
      </c>
      <c r="J179">
        <f t="shared" si="20"/>
        <v>1.5302605210420801</v>
      </c>
      <c r="K179">
        <f t="shared" si="21"/>
        <v>3.8485900727787445</v>
      </c>
      <c r="L179">
        <v>0</v>
      </c>
    </row>
    <row r="180" spans="1:12" x14ac:dyDescent="0.4">
      <c r="A180">
        <v>168</v>
      </c>
      <c r="B180">
        <f t="shared" si="22"/>
        <v>15.256513026052099</v>
      </c>
      <c r="C180">
        <f t="shared" si="23"/>
        <v>38.457246363591146</v>
      </c>
      <c r="D180">
        <f t="shared" si="26"/>
        <v>21.63890137246598</v>
      </c>
      <c r="E180">
        <f t="shared" si="24"/>
        <v>0.36875574607094597</v>
      </c>
      <c r="F180">
        <f t="shared" si="25"/>
        <v>85.354946661442142</v>
      </c>
      <c r="G180">
        <f t="shared" si="18"/>
        <v>31.858022644488081</v>
      </c>
      <c r="H180">
        <f t="shared" si="19"/>
        <v>488.5790358459746</v>
      </c>
      <c r="J180">
        <f t="shared" si="20"/>
        <v>1.5256513026052099</v>
      </c>
      <c r="K180">
        <f t="shared" si="21"/>
        <v>3.8457246363591144</v>
      </c>
      <c r="L180">
        <v>0</v>
      </c>
    </row>
    <row r="181" spans="1:12" x14ac:dyDescent="0.4">
      <c r="A181">
        <v>169</v>
      </c>
      <c r="B181">
        <f t="shared" si="22"/>
        <v>15.210420841683399</v>
      </c>
      <c r="C181">
        <f t="shared" si="23"/>
        <v>38.42860333681719</v>
      </c>
      <c r="D181">
        <f t="shared" si="26"/>
        <v>21.594148646859146</v>
      </c>
      <c r="E181">
        <f t="shared" si="24"/>
        <v>0.36802959699006704</v>
      </c>
      <c r="F181">
        <f t="shared" si="25"/>
        <v>85.289357346596574</v>
      </c>
      <c r="G181">
        <f t="shared" si="18"/>
        <v>31.847604349868714</v>
      </c>
      <c r="H181">
        <f t="shared" si="19"/>
        <v>481.56579689892402</v>
      </c>
      <c r="J181">
        <f t="shared" si="20"/>
        <v>1.5210420841683399</v>
      </c>
      <c r="K181">
        <f t="shared" si="21"/>
        <v>3.8428603336817191</v>
      </c>
      <c r="L181">
        <v>0</v>
      </c>
    </row>
    <row r="182" spans="1:12" x14ac:dyDescent="0.4">
      <c r="A182">
        <v>170</v>
      </c>
      <c r="B182">
        <f t="shared" si="22"/>
        <v>15.1643286573146</v>
      </c>
      <c r="C182">
        <f t="shared" si="23"/>
        <v>38.399971926402429</v>
      </c>
      <c r="D182">
        <f t="shared" si="26"/>
        <v>21.549295486095918</v>
      </c>
      <c r="E182">
        <f t="shared" si="24"/>
        <v>0.36730159298059445</v>
      </c>
      <c r="F182">
        <f t="shared" si="25"/>
        <v>85.223159457508643</v>
      </c>
      <c r="G182">
        <f t="shared" si="18"/>
        <v>31.836931985706364</v>
      </c>
      <c r="H182">
        <f t="shared" si="19"/>
        <v>474.68486513019172</v>
      </c>
      <c r="J182">
        <f t="shared" si="20"/>
        <v>1.5164328657314601</v>
      </c>
      <c r="K182">
        <f t="shared" si="21"/>
        <v>3.8399971926402428</v>
      </c>
      <c r="L182">
        <v>0</v>
      </c>
    </row>
    <row r="183" spans="1:12" x14ac:dyDescent="0.4">
      <c r="A183">
        <v>171</v>
      </c>
      <c r="B183">
        <f t="shared" si="22"/>
        <v>15.118236472945901</v>
      </c>
      <c r="C183">
        <f t="shared" si="23"/>
        <v>38.371352412912842</v>
      </c>
      <c r="D183">
        <f t="shared" si="26"/>
        <v>21.504341519273318</v>
      </c>
      <c r="E183">
        <f t="shared" si="24"/>
        <v>0.36657172695222862</v>
      </c>
      <c r="F183">
        <f t="shared" si="25"/>
        <v>85.15634933821265</v>
      </c>
      <c r="G183">
        <f t="shared" si="18"/>
        <v>31.826003909469666</v>
      </c>
      <c r="H183">
        <f t="shared" si="19"/>
        <v>467.93304225450169</v>
      </c>
      <c r="J183">
        <f t="shared" si="20"/>
        <v>1.5118236472945901</v>
      </c>
      <c r="K183">
        <f t="shared" si="21"/>
        <v>3.8371352412912842</v>
      </c>
      <c r="L183">
        <v>0</v>
      </c>
    </row>
    <row r="184" spans="1:12" x14ac:dyDescent="0.4">
      <c r="A184">
        <v>172</v>
      </c>
      <c r="B184">
        <f t="shared" si="22"/>
        <v>15.072144288577199</v>
      </c>
      <c r="C184">
        <f t="shared" si="23"/>
        <v>38.342745078549953</v>
      </c>
      <c r="D184">
        <f t="shared" si="26"/>
        <v>21.459286374898848</v>
      </c>
      <c r="E184">
        <f t="shared" si="24"/>
        <v>0.36583999180039911</v>
      </c>
      <c r="F184">
        <f t="shared" si="25"/>
        <v>85.088923309563086</v>
      </c>
      <c r="G184">
        <f t="shared" si="18"/>
        <v>31.814818467332117</v>
      </c>
      <c r="H184">
        <f t="shared" si="19"/>
        <v>461.3072245657375</v>
      </c>
      <c r="J184">
        <f t="shared" si="20"/>
        <v>1.5072144288577198</v>
      </c>
      <c r="K184">
        <f t="shared" si="21"/>
        <v>3.8342745078549951</v>
      </c>
      <c r="L184">
        <v>0</v>
      </c>
    </row>
    <row r="185" spans="1:12" x14ac:dyDescent="0.4">
      <c r="A185">
        <v>173</v>
      </c>
      <c r="B185">
        <f t="shared" si="22"/>
        <v>15.0260521042084</v>
      </c>
      <c r="C185">
        <f t="shared" si="23"/>
        <v>38.31415020715724</v>
      </c>
      <c r="D185">
        <f t="shared" si="26"/>
        <v>21.41412968090555</v>
      </c>
      <c r="E185">
        <f t="shared" si="24"/>
        <v>0.36510638040652593</v>
      </c>
      <c r="F185">
        <f t="shared" si="25"/>
        <v>85.020877669140773</v>
      </c>
      <c r="G185">
        <f t="shared" si="18"/>
        <v>31.803373994117614</v>
      </c>
      <c r="H185">
        <f t="shared" si="19"/>
        <v>454.80439962221749</v>
      </c>
      <c r="J185">
        <f t="shared" si="20"/>
        <v>1.5026052104208401</v>
      </c>
      <c r="K185">
        <f t="shared" si="21"/>
        <v>3.831415020715724</v>
      </c>
      <c r="L185">
        <v>0</v>
      </c>
    </row>
    <row r="186" spans="1:12" x14ac:dyDescent="0.4">
      <c r="A186">
        <v>174</v>
      </c>
      <c r="B186">
        <f t="shared" si="22"/>
        <v>14.9799599198397</v>
      </c>
      <c r="C186">
        <f t="shared" si="23"/>
        <v>38.285568084226469</v>
      </c>
      <c r="D186">
        <f t="shared" si="26"/>
        <v>21.368871064667346</v>
      </c>
      <c r="E186">
        <f t="shared" si="24"/>
        <v>0.36437088563828712</v>
      </c>
      <c r="F186">
        <f t="shared" si="25"/>
        <v>84.952208691160038</v>
      </c>
      <c r="G186">
        <f t="shared" si="18"/>
        <v>31.791668813246346</v>
      </c>
      <c r="H186">
        <f t="shared" si="19"/>
        <v>448.42164306619765</v>
      </c>
      <c r="J186">
        <f t="shared" si="20"/>
        <v>1.49799599198397</v>
      </c>
      <c r="K186">
        <f t="shared" si="21"/>
        <v>3.8285568084226469</v>
      </c>
      <c r="L186">
        <v>0</v>
      </c>
    </row>
    <row r="187" spans="1:12" x14ac:dyDescent="0.4">
      <c r="A187">
        <v>175</v>
      </c>
      <c r="B187">
        <f t="shared" si="22"/>
        <v>14.9338677354709</v>
      </c>
      <c r="C187">
        <f t="shared" si="23"/>
        <v>38.256998996904031</v>
      </c>
      <c r="D187">
        <f t="shared" si="26"/>
        <v>21.323510153013405</v>
      </c>
      <c r="E187">
        <f t="shared" si="24"/>
        <v>0.36363350034987152</v>
      </c>
      <c r="F187">
        <f t="shared" si="25"/>
        <v>84.882912626374548</v>
      </c>
      <c r="G187">
        <f t="shared" si="18"/>
        <v>31.779701236680573</v>
      </c>
      <c r="H187">
        <f t="shared" si="19"/>
        <v>442.15611557124805</v>
      </c>
      <c r="J187">
        <f t="shared" si="20"/>
        <v>1.49338677354709</v>
      </c>
      <c r="K187">
        <f t="shared" si="21"/>
        <v>3.8256998996904032</v>
      </c>
      <c r="L187">
        <v>0</v>
      </c>
    </row>
    <row r="188" spans="1:12" x14ac:dyDescent="0.4">
      <c r="A188">
        <v>176</v>
      </c>
      <c r="B188">
        <f t="shared" si="22"/>
        <v>14.8877755511022</v>
      </c>
      <c r="C188">
        <f t="shared" si="23"/>
        <v>38.22844323399719</v>
      </c>
      <c r="D188">
        <f t="shared" si="26"/>
        <v>21.278046572244783</v>
      </c>
      <c r="E188">
        <f t="shared" si="24"/>
        <v>0.36289421738226874</v>
      </c>
      <c r="F188">
        <f t="shared" si="25"/>
        <v>84.812985701987358</v>
      </c>
      <c r="G188">
        <f t="shared" si="18"/>
        <v>31.767469564871288</v>
      </c>
      <c r="H188">
        <f t="shared" si="19"/>
        <v>436.00505991212719</v>
      </c>
      <c r="J188">
        <f t="shared" si="20"/>
        <v>1.48877755511022</v>
      </c>
      <c r="K188">
        <f t="shared" si="21"/>
        <v>3.8228443233997189</v>
      </c>
      <c r="L188">
        <v>0</v>
      </c>
    </row>
    <row r="189" spans="1:12" x14ac:dyDescent="0.4">
      <c r="A189">
        <v>177</v>
      </c>
      <c r="B189">
        <f t="shared" si="22"/>
        <v>14.8416833667335</v>
      </c>
      <c r="C189">
        <f t="shared" si="23"/>
        <v>38.199901085980329</v>
      </c>
      <c r="D189">
        <f t="shared" si="26"/>
        <v>21.232479948149368</v>
      </c>
      <c r="E189">
        <f t="shared" si="24"/>
        <v>0.36215302956353329</v>
      </c>
      <c r="F189">
        <f t="shared" si="25"/>
        <v>84.742424121558656</v>
      </c>
      <c r="G189">
        <f t="shared" si="18"/>
        <v>31.754972086704644</v>
      </c>
      <c r="H189">
        <f t="shared" si="19"/>
        <v>429.96579815104423</v>
      </c>
      <c r="J189">
        <f t="shared" si="20"/>
        <v>1.48416833667335</v>
      </c>
      <c r="K189">
        <f t="shared" si="21"/>
        <v>3.819990108598033</v>
      </c>
      <c r="L189">
        <v>0</v>
      </c>
    </row>
    <row r="190" spans="1:12" x14ac:dyDescent="0.4">
      <c r="A190">
        <v>178</v>
      </c>
      <c r="B190">
        <f t="shared" si="22"/>
        <v>14.795591182364699</v>
      </c>
      <c r="C190">
        <f t="shared" si="23"/>
        <v>38.171372845001123</v>
      </c>
      <c r="D190">
        <f t="shared" si="26"/>
        <v>21.186809906018517</v>
      </c>
      <c r="E190">
        <f t="shared" si="24"/>
        <v>0.36140992970907665</v>
      </c>
      <c r="F190">
        <f t="shared" si="25"/>
        <v>84.671224064916515</v>
      </c>
      <c r="G190">
        <f t="shared" si="18"/>
        <v>31.742207079448999</v>
      </c>
      <c r="H190">
        <f t="shared" si="19"/>
        <v>424.03572893550228</v>
      </c>
      <c r="J190">
        <f t="shared" si="20"/>
        <v>1.47955911823647</v>
      </c>
      <c r="K190">
        <f t="shared" si="21"/>
        <v>3.8171372845001121</v>
      </c>
      <c r="L190">
        <v>0</v>
      </c>
    </row>
    <row r="191" spans="1:12" x14ac:dyDescent="0.4">
      <c r="A191">
        <v>179</v>
      </c>
      <c r="B191">
        <f t="shared" si="22"/>
        <v>14.749498997996</v>
      </c>
      <c r="C191">
        <f t="shared" si="23"/>
        <v>38.1428588048867</v>
      </c>
      <c r="D191">
        <f t="shared" si="26"/>
        <v>21.141036070663951</v>
      </c>
      <c r="E191">
        <f t="shared" si="24"/>
        <v>0.36066491062196476</v>
      </c>
      <c r="F191">
        <f t="shared" si="25"/>
        <v>84.599381688068917</v>
      </c>
      <c r="G191">
        <f t="shared" si="18"/>
        <v>31.729172808702483</v>
      </c>
      <c r="H191">
        <f t="shared" si="19"/>
        <v>418.21232490255693</v>
      </c>
      <c r="J191">
        <f t="shared" si="20"/>
        <v>1.4749498997996</v>
      </c>
      <c r="K191">
        <f t="shared" si="21"/>
        <v>3.8142858804886699</v>
      </c>
      <c r="L191">
        <v>0</v>
      </c>
    </row>
    <row r="192" spans="1:12" x14ac:dyDescent="0.4">
      <c r="A192">
        <v>180</v>
      </c>
      <c r="B192">
        <f t="shared" si="22"/>
        <v>14.7034068136273</v>
      </c>
      <c r="C192">
        <f t="shared" si="23"/>
        <v>38.114359261149708</v>
      </c>
      <c r="D192">
        <f t="shared" si="26"/>
        <v>21.095158066433832</v>
      </c>
      <c r="E192">
        <f t="shared" si="24"/>
        <v>0.35991796509320328</v>
      </c>
      <c r="F192">
        <f t="shared" si="25"/>
        <v>84.526893123114746</v>
      </c>
      <c r="G192">
        <f t="shared" si="18"/>
        <v>31.715867528340457</v>
      </c>
      <c r="H192">
        <f t="shared" si="19"/>
        <v>412.49313018455229</v>
      </c>
      <c r="J192">
        <f t="shared" si="20"/>
        <v>1.47034068136273</v>
      </c>
      <c r="K192">
        <f t="shared" si="21"/>
        <v>3.8114359261149708</v>
      </c>
      <c r="L192">
        <v>0</v>
      </c>
    </row>
    <row r="193" spans="1:12" x14ac:dyDescent="0.4">
      <c r="A193">
        <v>181</v>
      </c>
      <c r="B193">
        <f t="shared" si="22"/>
        <v>14.657314629258501</v>
      </c>
      <c r="C193">
        <f t="shared" si="23"/>
        <v>38.085874510994394</v>
      </c>
      <c r="D193">
        <f t="shared" si="26"/>
        <v>21.049175517230342</v>
      </c>
      <c r="E193">
        <f t="shared" si="24"/>
        <v>0.35916908590204794</v>
      </c>
      <c r="F193">
        <f t="shared" si="25"/>
        <v>84.453754478157776</v>
      </c>
      <c r="G193">
        <f t="shared" si="18"/>
        <v>31.702289480463719</v>
      </c>
      <c r="H193">
        <f t="shared" si="19"/>
        <v>406.87575801216553</v>
      </c>
      <c r="J193">
        <f t="shared" si="20"/>
        <v>1.46573146292585</v>
      </c>
      <c r="K193">
        <f t="shared" si="21"/>
        <v>3.8085874510994393</v>
      </c>
      <c r="L193">
        <v>0</v>
      </c>
    </row>
    <row r="194" spans="1:12" x14ac:dyDescent="0.4">
      <c r="A194">
        <v>182</v>
      </c>
      <c r="B194">
        <f t="shared" si="22"/>
        <v>14.611222444889799</v>
      </c>
      <c r="C194">
        <f t="shared" si="23"/>
        <v>38.057404853322574</v>
      </c>
      <c r="D194">
        <f t="shared" si="26"/>
        <v>21.00308804652758</v>
      </c>
      <c r="E194">
        <f t="shared" si="24"/>
        <v>0.35841826581632152</v>
      </c>
      <c r="F194">
        <f t="shared" si="25"/>
        <v>84.379961837221828</v>
      </c>
      <c r="G194">
        <f t="shared" si="18"/>
        <v>31.688436895347124</v>
      </c>
      <c r="H194">
        <f t="shared" si="19"/>
        <v>401.35788841027664</v>
      </c>
      <c r="J194">
        <f t="shared" si="20"/>
        <v>1.46112224448898</v>
      </c>
      <c r="K194">
        <f t="shared" si="21"/>
        <v>3.8057404853322572</v>
      </c>
      <c r="L194">
        <v>0</v>
      </c>
    </row>
    <row r="195" spans="1:12" x14ac:dyDescent="0.4">
      <c r="A195">
        <v>183</v>
      </c>
      <c r="B195">
        <f t="shared" si="22"/>
        <v>14.565130260521</v>
      </c>
      <c r="C195">
        <f t="shared" si="23"/>
        <v>38.028950588739598</v>
      </c>
      <c r="D195">
        <f t="shared" si="26"/>
        <v>20.956895277388519</v>
      </c>
      <c r="E195">
        <f t="shared" si="24"/>
        <v>0.35766549759271626</v>
      </c>
      <c r="F195">
        <f t="shared" si="25"/>
        <v>84.30551126016519</v>
      </c>
      <c r="G195">
        <f t="shared" si="18"/>
        <v>31.674307991388336</v>
      </c>
      <c r="H195">
        <f t="shared" si="19"/>
        <v>395.93726598249242</v>
      </c>
      <c r="J195">
        <f t="shared" si="20"/>
        <v>1.4565130260521</v>
      </c>
      <c r="K195">
        <f t="shared" si="21"/>
        <v>3.8028950588739598</v>
      </c>
      <c r="L195">
        <v>0</v>
      </c>
    </row>
    <row r="196" spans="1:12" x14ac:dyDescent="0.4">
      <c r="A196">
        <v>184</v>
      </c>
      <c r="B196">
        <f t="shared" si="22"/>
        <v>14.519038076152301</v>
      </c>
      <c r="C196">
        <f t="shared" si="23"/>
        <v>38.000512019560233</v>
      </c>
      <c r="D196">
        <f t="shared" si="26"/>
        <v>20.910596832484192</v>
      </c>
      <c r="E196">
        <f t="shared" si="24"/>
        <v>0.356910773977134</v>
      </c>
      <c r="F196">
        <f t="shared" si="25"/>
        <v>84.230398782598868</v>
      </c>
      <c r="G196">
        <f t="shared" si="18"/>
        <v>31.65990097505734</v>
      </c>
      <c r="H196">
        <f t="shared" si="19"/>
        <v>390.61169778073526</v>
      </c>
      <c r="J196">
        <f t="shared" si="20"/>
        <v>1.45190380761523</v>
      </c>
      <c r="K196">
        <f t="shared" si="21"/>
        <v>3.8000512019560233</v>
      </c>
      <c r="L196">
        <v>0</v>
      </c>
    </row>
    <row r="197" spans="1:12" x14ac:dyDescent="0.4">
      <c r="A197">
        <v>185</v>
      </c>
      <c r="B197">
        <f t="shared" si="22"/>
        <v>14.472945891783599</v>
      </c>
      <c r="C197">
        <f t="shared" si="23"/>
        <v>37.972089449814504</v>
      </c>
      <c r="D197">
        <f t="shared" si="26"/>
        <v>20.86419233411134</v>
      </c>
      <c r="E197">
        <f t="shared" si="24"/>
        <v>0.35615408770500151</v>
      </c>
      <c r="F197">
        <f t="shared" si="25"/>
        <v>84.154620415803578</v>
      </c>
      <c r="G197">
        <f t="shared" si="18"/>
        <v>31.64521404084612</v>
      </c>
      <c r="H197">
        <f t="shared" si="19"/>
        <v>385.37905125587332</v>
      </c>
      <c r="J197">
        <f t="shared" si="20"/>
        <v>1.44729458917836</v>
      </c>
      <c r="K197">
        <f t="shared" si="21"/>
        <v>3.7972089449814503</v>
      </c>
      <c r="L197">
        <v>0</v>
      </c>
    </row>
    <row r="198" spans="1:12" x14ac:dyDescent="0.4">
      <c r="A198">
        <v>186</v>
      </c>
      <c r="B198">
        <f t="shared" si="22"/>
        <v>14.4268537074148</v>
      </c>
      <c r="C198">
        <f t="shared" si="23"/>
        <v>37.943683185253484</v>
      </c>
      <c r="D198">
        <f t="shared" si="26"/>
        <v>20.817681404211704</v>
      </c>
      <c r="E198">
        <f t="shared" si="24"/>
        <v>0.35539543150161507</v>
      </c>
      <c r="F198">
        <f t="shared" si="25"/>
        <v>84.078172146649763</v>
      </c>
      <c r="G198">
        <f t="shared" si="18"/>
        <v>31.630245371219029</v>
      </c>
      <c r="H198">
        <f t="shared" si="19"/>
        <v>380.23725228616473</v>
      </c>
      <c r="J198">
        <f t="shared" si="20"/>
        <v>1.44268537074148</v>
      </c>
      <c r="K198">
        <f t="shared" si="21"/>
        <v>3.7943683185253483</v>
      </c>
      <c r="L198">
        <v>0</v>
      </c>
    </row>
    <row r="199" spans="1:12" x14ac:dyDescent="0.4">
      <c r="A199">
        <v>187</v>
      </c>
      <c r="B199">
        <f t="shared" si="22"/>
        <v>14.3807615230461</v>
      </c>
      <c r="C199">
        <f t="shared" si="23"/>
        <v>37.915293533355026</v>
      </c>
      <c r="D199">
        <f t="shared" si="26"/>
        <v>20.771063664391569</v>
      </c>
      <c r="E199">
        <f t="shared" si="24"/>
        <v>0.35463479808248893</v>
      </c>
      <c r="F199">
        <f t="shared" si="25"/>
        <v>84.0010499375189</v>
      </c>
      <c r="G199">
        <f t="shared" si="18"/>
        <v>31.614993136563665</v>
      </c>
      <c r="H199">
        <f t="shared" si="19"/>
        <v>375.18428328004467</v>
      </c>
      <c r="J199">
        <f t="shared" si="20"/>
        <v>1.4380761523046099</v>
      </c>
      <c r="K199">
        <f t="shared" si="21"/>
        <v>3.7915293533355028</v>
      </c>
      <c r="L199">
        <v>0</v>
      </c>
    </row>
    <row r="200" spans="1:12" x14ac:dyDescent="0.4">
      <c r="A200">
        <v>188</v>
      </c>
      <c r="B200">
        <f t="shared" si="22"/>
        <v>14.334669338677401</v>
      </c>
      <c r="C200">
        <f t="shared" si="23"/>
        <v>37.886920803329417</v>
      </c>
      <c r="D200">
        <f t="shared" si="26"/>
        <v>20.724338735940623</v>
      </c>
      <c r="E200">
        <f t="shared" si="24"/>
        <v>0.35387218015369437</v>
      </c>
      <c r="F200">
        <f t="shared" si="25"/>
        <v>83.923249726224412</v>
      </c>
      <c r="G200">
        <f t="shared" si="18"/>
        <v>31.599455495141896</v>
      </c>
      <c r="H200">
        <f t="shared" si="19"/>
        <v>370.21818134998625</v>
      </c>
      <c r="J200">
        <f t="shared" si="20"/>
        <v>1.4334669338677402</v>
      </c>
      <c r="K200">
        <f t="shared" si="21"/>
        <v>3.7886920803329418</v>
      </c>
      <c r="L200">
        <v>0</v>
      </c>
    </row>
    <row r="201" spans="1:12" x14ac:dyDescent="0.4">
      <c r="A201">
        <v>189</v>
      </c>
      <c r="B201">
        <f t="shared" si="22"/>
        <v>14.2885771543086</v>
      </c>
      <c r="C201">
        <f t="shared" si="23"/>
        <v>37.858565306125001</v>
      </c>
      <c r="D201">
        <f t="shared" si="26"/>
        <v>20.677506239852278</v>
      </c>
      <c r="E201">
        <f t="shared" si="24"/>
        <v>0.35310757041222385</v>
      </c>
      <c r="F201">
        <f t="shared" si="25"/>
        <v>83.84476742593597</v>
      </c>
      <c r="G201">
        <f t="shared" si="18"/>
        <v>31.583630593041846</v>
      </c>
      <c r="H201">
        <f t="shared" si="19"/>
        <v>365.33703655463216</v>
      </c>
      <c r="J201">
        <f t="shared" si="20"/>
        <v>1.4288577154308599</v>
      </c>
      <c r="K201">
        <f t="shared" si="21"/>
        <v>3.7858565306125</v>
      </c>
      <c r="L201">
        <v>0</v>
      </c>
    </row>
    <row r="202" spans="1:12" x14ac:dyDescent="0.4">
      <c r="A202">
        <v>190</v>
      </c>
      <c r="B202">
        <f t="shared" si="22"/>
        <v>14.2424849699399</v>
      </c>
      <c r="C202">
        <f t="shared" si="23"/>
        <v>37.830227354433724</v>
      </c>
      <c r="D202">
        <f t="shared" si="26"/>
        <v>20.630565796844326</v>
      </c>
      <c r="E202">
        <f t="shared" si="24"/>
        <v>0.35234096154636146</v>
      </c>
      <c r="F202">
        <f t="shared" si="25"/>
        <v>83.765598925105024</v>
      </c>
      <c r="G202">
        <f t="shared" si="18"/>
        <v>31.567516564130351</v>
      </c>
      <c r="H202">
        <f t="shared" si="19"/>
        <v>360.5389902061728</v>
      </c>
      <c r="J202">
        <f t="shared" si="20"/>
        <v>1.4242484969939899</v>
      </c>
      <c r="K202">
        <f t="shared" si="21"/>
        <v>3.7830227354433723</v>
      </c>
      <c r="L202">
        <v>0</v>
      </c>
    </row>
    <row r="203" spans="1:12" x14ac:dyDescent="0.4">
      <c r="A203">
        <v>191</v>
      </c>
      <c r="B203">
        <f t="shared" si="22"/>
        <v>14.196392785571099</v>
      </c>
      <c r="C203">
        <f t="shared" si="23"/>
        <v>37.801907262696616</v>
      </c>
      <c r="D203">
        <f t="shared" si="26"/>
        <v>20.583517027378733</v>
      </c>
      <c r="E203">
        <f t="shared" si="24"/>
        <v>0.35157234623604061</v>
      </c>
      <c r="F203">
        <f t="shared" si="25"/>
        <v>83.685740087389917</v>
      </c>
      <c r="G203">
        <f t="shared" si="18"/>
        <v>31.551111530005592</v>
      </c>
      <c r="H203">
        <f t="shared" si="19"/>
        <v>355.82223324013069</v>
      </c>
      <c r="J203">
        <f t="shared" si="20"/>
        <v>1.4196392785571099</v>
      </c>
      <c r="K203">
        <f t="shared" si="21"/>
        <v>3.7801907262696615</v>
      </c>
      <c r="L203">
        <v>0</v>
      </c>
    </row>
    <row r="204" spans="1:12" x14ac:dyDescent="0.4">
      <c r="A204">
        <v>192</v>
      </c>
      <c r="B204">
        <f t="shared" si="22"/>
        <v>14.1503006012024</v>
      </c>
      <c r="C204">
        <f t="shared" si="23"/>
        <v>37.773605347109225</v>
      </c>
      <c r="D204">
        <f t="shared" si="26"/>
        <v>20.536359551683677</v>
      </c>
      <c r="E204">
        <f t="shared" si="24"/>
        <v>0.35080171715323955</v>
      </c>
      <c r="F204">
        <f t="shared" si="25"/>
        <v>83.605186751585563</v>
      </c>
      <c r="G204">
        <f t="shared" ref="G204:G267" si="27">IFERROR((-D204+F204)/2,IF($B$2-1=A204,G203,NA()))</f>
        <v>31.534413599950945</v>
      </c>
      <c r="H204">
        <f t="shared" ref="H204:H267" si="28">IF(A204="",NA(),B204+TAN(RADIANS(F204))*C204)</f>
        <v>351.18500464522009</v>
      </c>
      <c r="J204">
        <f t="shared" ref="J204:J267" si="29">IF(A204="",NA(),B204/10)</f>
        <v>1.4150300601202399</v>
      </c>
      <c r="K204">
        <f t="shared" ref="K204:K267" si="30">IF(A204="",NA(),C204/10)</f>
        <v>3.7773605347109225</v>
      </c>
      <c r="L204">
        <v>0</v>
      </c>
    </row>
    <row r="205" spans="1:12" x14ac:dyDescent="0.4">
      <c r="A205">
        <v>193</v>
      </c>
      <c r="B205">
        <f t="shared" ref="B205:B268" si="31">IFERROR(ROUND(-$B$6*(A205/($B$2-1)-1),20),IF($B$2-1=A205,0,NA()))</f>
        <v>14.1042084168337</v>
      </c>
      <c r="C205">
        <f t="shared" ref="C205:C268" si="32">IFERROR(C204-TAN(RADIANS(G204))*$B$3,IF($B$2-1=A205,C204,NA()))</f>
        <v>37.745321925626939</v>
      </c>
      <c r="D205">
        <f t="shared" si="26"/>
        <v>20.489092989774075</v>
      </c>
      <c r="E205">
        <f t="shared" ref="E205:E268" si="33">IF(A205="",NA(),SIN(RADIANS(D205)))</f>
        <v>0.35002906696235347</v>
      </c>
      <c r="F205">
        <f t="shared" ref="F205:F268" si="34">IF(A205="", NA(), 180-MEDIAN(90, 180, $F$4*D205^2 - ((90+$F$4*$B$4^2)/$B$4)*D205 + 180))</f>
        <v>83.523934731551691</v>
      </c>
      <c r="G205">
        <f t="shared" si="27"/>
        <v>31.517420870888806</v>
      </c>
      <c r="H205">
        <f t="shared" si="28"/>
        <v>346.62558995043696</v>
      </c>
      <c r="J205">
        <f t="shared" si="29"/>
        <v>1.4104208416833699</v>
      </c>
      <c r="K205">
        <f t="shared" si="30"/>
        <v>3.774532192562694</v>
      </c>
      <c r="L205">
        <v>0</v>
      </c>
    </row>
    <row r="206" spans="1:12" x14ac:dyDescent="0.4">
      <c r="A206">
        <v>194</v>
      </c>
      <c r="B206">
        <f t="shared" si="31"/>
        <v>14.058116232464901</v>
      </c>
      <c r="C206">
        <f t="shared" si="32"/>
        <v>37.717057317970315</v>
      </c>
      <c r="D206">
        <f t="shared" ref="D206:D269" si="35">IF(A206="",NA(),DEGREES(ATAN(B206/C206)))</f>
        <v>20.441716961473716</v>
      </c>
      <c r="E206">
        <f t="shared" si="33"/>
        <v>0.34925438832059391</v>
      </c>
      <c r="F206">
        <f t="shared" si="34"/>
        <v>83.441979816144567</v>
      </c>
      <c r="G206">
        <f t="shared" si="27"/>
        <v>31.500131427335425</v>
      </c>
      <c r="H206">
        <f t="shared" si="28"/>
        <v>342.14231976727871</v>
      </c>
      <c r="J206">
        <f t="shared" si="29"/>
        <v>1.4058116232464901</v>
      </c>
      <c r="K206">
        <f t="shared" si="30"/>
        <v>3.7717057317970317</v>
      </c>
      <c r="L206">
        <v>0</v>
      </c>
    </row>
    <row r="207" spans="1:12" x14ac:dyDescent="0.4">
      <c r="A207">
        <v>195</v>
      </c>
      <c r="B207">
        <f t="shared" si="31"/>
        <v>14.012024048096199</v>
      </c>
      <c r="C207">
        <f t="shared" si="32"/>
        <v>37.688811845630255</v>
      </c>
      <c r="D207">
        <f t="shared" si="35"/>
        <v>20.39423108643787</v>
      </c>
      <c r="E207">
        <f t="shared" si="33"/>
        <v>0.34847767387839745</v>
      </c>
      <c r="F207">
        <f t="shared" si="34"/>
        <v>83.359317769150849</v>
      </c>
      <c r="G207">
        <f t="shared" si="27"/>
        <v>31.482543341356489</v>
      </c>
      <c r="H207">
        <f t="shared" si="28"/>
        <v>337.73356838473546</v>
      </c>
      <c r="J207">
        <f t="shared" si="29"/>
        <v>1.4012024048096199</v>
      </c>
      <c r="K207">
        <f t="shared" si="30"/>
        <v>3.7688811845630257</v>
      </c>
      <c r="L207">
        <v>0</v>
      </c>
    </row>
    <row r="208" spans="1:12" x14ac:dyDescent="0.4">
      <c r="A208">
        <v>196</v>
      </c>
      <c r="B208">
        <f t="shared" si="31"/>
        <v>13.9659318637275</v>
      </c>
      <c r="C208">
        <f t="shared" si="32"/>
        <v>37.660585831873178</v>
      </c>
      <c r="D208">
        <f t="shared" si="35"/>
        <v>20.346634984174994</v>
      </c>
      <c r="E208">
        <f t="shared" si="33"/>
        <v>0.34769891627982069</v>
      </c>
      <c r="F208">
        <f t="shared" si="34"/>
        <v>83.275944329220835</v>
      </c>
      <c r="G208">
        <f t="shared" si="27"/>
        <v>31.464654672522919</v>
      </c>
      <c r="H208">
        <f t="shared" si="28"/>
        <v>333.39775241475297</v>
      </c>
      <c r="J208">
        <f t="shared" si="29"/>
        <v>1.3965931863727499</v>
      </c>
      <c r="K208">
        <f t="shared" si="30"/>
        <v>3.7660585831873177</v>
      </c>
      <c r="L208">
        <v>0</v>
      </c>
    </row>
    <row r="209" spans="1:12" x14ac:dyDescent="0.4">
      <c r="A209">
        <v>197</v>
      </c>
      <c r="B209">
        <f t="shared" si="31"/>
        <v>13.9198396793587</v>
      </c>
      <c r="C209">
        <f t="shared" si="32"/>
        <v>37.632379601746088</v>
      </c>
      <c r="D209">
        <f t="shared" si="35"/>
        <v>20.298928274070082</v>
      </c>
      <c r="E209">
        <f t="shared" si="33"/>
        <v>0.34691810816296348</v>
      </c>
      <c r="F209">
        <f t="shared" si="34"/>
        <v>83.191855209805425</v>
      </c>
      <c r="G209">
        <f t="shared" si="27"/>
        <v>31.446463467867673</v>
      </c>
      <c r="H209">
        <f t="shared" si="28"/>
        <v>329.13332948632313</v>
      </c>
      <c r="J209">
        <f t="shared" si="29"/>
        <v>1.3919839679358701</v>
      </c>
      <c r="K209">
        <f t="shared" si="30"/>
        <v>3.7632379601746089</v>
      </c>
      <c r="L209">
        <v>0</v>
      </c>
    </row>
    <row r="210" spans="1:12" x14ac:dyDescent="0.4">
      <c r="A210">
        <v>198</v>
      </c>
      <c r="B210">
        <f t="shared" si="31"/>
        <v>13.873747494990001</v>
      </c>
      <c r="C210">
        <f t="shared" si="32"/>
        <v>37.604193482081556</v>
      </c>
      <c r="D210">
        <f t="shared" si="35"/>
        <v>20.251110575408404</v>
      </c>
      <c r="E210">
        <f t="shared" si="33"/>
        <v>0.34613524216039959</v>
      </c>
      <c r="F210">
        <f t="shared" si="34"/>
        <v>83.107046099095328</v>
      </c>
      <c r="G210">
        <f t="shared" si="27"/>
        <v>31.427967761843462</v>
      </c>
      <c r="H210">
        <f t="shared" si="28"/>
        <v>324.93879698613711</v>
      </c>
      <c r="J210">
        <f t="shared" si="29"/>
        <v>1.3873747494990001</v>
      </c>
      <c r="K210">
        <f t="shared" si="30"/>
        <v>3.7604193482081554</v>
      </c>
      <c r="L210">
        <v>0</v>
      </c>
    </row>
    <row r="211" spans="1:12" x14ac:dyDescent="0.4">
      <c r="A211">
        <v>199</v>
      </c>
      <c r="B211">
        <f t="shared" si="31"/>
        <v>13.8276553106212</v>
      </c>
      <c r="C211">
        <f t="shared" si="32"/>
        <v>37.576027801502647</v>
      </c>
      <c r="D211">
        <f t="shared" si="35"/>
        <v>20.203181507398277</v>
      </c>
      <c r="E211">
        <f t="shared" si="33"/>
        <v>0.34535031089959328</v>
      </c>
      <c r="F211">
        <f t="shared" si="34"/>
        <v>83.02151265995937</v>
      </c>
      <c r="G211">
        <f t="shared" si="27"/>
        <v>31.409165576280547</v>
      </c>
      <c r="H211">
        <f t="shared" si="28"/>
        <v>320.81269084378437</v>
      </c>
      <c r="J211">
        <f t="shared" si="29"/>
        <v>1.3827655310621201</v>
      </c>
      <c r="K211">
        <f t="shared" si="30"/>
        <v>3.7576027801502647</v>
      </c>
      <c r="L211">
        <v>0</v>
      </c>
    </row>
    <row r="212" spans="1:12" x14ac:dyDescent="0.4">
      <c r="A212">
        <v>200</v>
      </c>
      <c r="B212">
        <f t="shared" si="31"/>
        <v>13.7815631262525</v>
      </c>
      <c r="C212">
        <f t="shared" si="32"/>
        <v>37.547882890427786</v>
      </c>
      <c r="D212">
        <f t="shared" si="35"/>
        <v>20.155140689196248</v>
      </c>
      <c r="E212">
        <f t="shared" si="33"/>
        <v>0.34456330700335647</v>
      </c>
      <c r="F212">
        <f t="shared" si="34"/>
        <v>82.935250529888549</v>
      </c>
      <c r="G212">
        <f t="shared" si="27"/>
        <v>31.390054920346152</v>
      </c>
      <c r="H212">
        <f t="shared" si="28"/>
        <v>316.75358436000238</v>
      </c>
      <c r="J212">
        <f t="shared" si="29"/>
        <v>1.3781563126252501</v>
      </c>
      <c r="K212">
        <f t="shared" si="30"/>
        <v>3.7547882890427786</v>
      </c>
      <c r="L212">
        <v>0</v>
      </c>
    </row>
    <row r="213" spans="1:12" x14ac:dyDescent="0.4">
      <c r="A213">
        <v>201</v>
      </c>
      <c r="B213">
        <f t="shared" si="31"/>
        <v>13.735470941883801</v>
      </c>
      <c r="C213">
        <f t="shared" si="32"/>
        <v>37.519759081075492</v>
      </c>
      <c r="D213">
        <f t="shared" si="35"/>
        <v>20.106987739930705</v>
      </c>
      <c r="E213">
        <f t="shared" si="33"/>
        <v>0.34377422309028122</v>
      </c>
      <c r="F213">
        <f t="shared" si="34"/>
        <v>82.848255320938279</v>
      </c>
      <c r="G213">
        <f t="shared" si="27"/>
        <v>31.370633790503788</v>
      </c>
      <c r="H213">
        <f t="shared" si="28"/>
        <v>312.76008707590938</v>
      </c>
      <c r="J213">
        <f t="shared" si="29"/>
        <v>1.3735470941883801</v>
      </c>
      <c r="K213">
        <f t="shared" si="30"/>
        <v>3.751975908107549</v>
      </c>
      <c r="L213">
        <v>0</v>
      </c>
    </row>
    <row r="214" spans="1:12" x14ac:dyDescent="0.4">
      <c r="A214">
        <v>202</v>
      </c>
      <c r="B214">
        <f t="shared" si="31"/>
        <v>13.689378757515</v>
      </c>
      <c r="C214">
        <f t="shared" si="32"/>
        <v>37.491656707469069</v>
      </c>
      <c r="D214">
        <f t="shared" si="35"/>
        <v>20.058722278727171</v>
      </c>
      <c r="E214">
        <f t="shared" si="33"/>
        <v>0.34298305177520166</v>
      </c>
      <c r="F214">
        <f t="shared" si="34"/>
        <v>82.760522619675299</v>
      </c>
      <c r="G214">
        <f t="shared" si="27"/>
        <v>31.350900170474063</v>
      </c>
      <c r="H214">
        <f t="shared" si="28"/>
        <v>308.83084368187912</v>
      </c>
      <c r="J214">
        <f t="shared" si="29"/>
        <v>1.3689378757515001</v>
      </c>
      <c r="K214">
        <f t="shared" si="30"/>
        <v>3.749165670746907</v>
      </c>
      <c r="L214">
        <v>0</v>
      </c>
    </row>
    <row r="215" spans="1:12" x14ac:dyDescent="0.4">
      <c r="A215">
        <v>203</v>
      </c>
      <c r="B215">
        <f t="shared" si="31"/>
        <v>13.6432865731463</v>
      </c>
      <c r="C215">
        <f t="shared" si="32"/>
        <v>37.463576105441213</v>
      </c>
      <c r="D215">
        <f t="shared" si="35"/>
        <v>20.010343924734091</v>
      </c>
      <c r="E215">
        <f t="shared" si="33"/>
        <v>0.34218978566966518</v>
      </c>
      <c r="F215">
        <f t="shared" si="34"/>
        <v>82.672047987126263</v>
      </c>
      <c r="G215">
        <f t="shared" si="27"/>
        <v>31.330852031196088</v>
      </c>
      <c r="H215">
        <f t="shared" si="28"/>
        <v>304.96453296434339</v>
      </c>
      <c r="J215">
        <f t="shared" si="29"/>
        <v>1.36432865731463</v>
      </c>
      <c r="K215">
        <f t="shared" si="30"/>
        <v>3.7463576105441212</v>
      </c>
      <c r="L215">
        <v>0</v>
      </c>
    </row>
    <row r="216" spans="1:12" x14ac:dyDescent="0.4">
      <c r="A216">
        <v>204</v>
      </c>
      <c r="B216">
        <f t="shared" si="31"/>
        <v>13.5971943887776</v>
      </c>
      <c r="C216">
        <f t="shared" si="32"/>
        <v>37.435517612638506</v>
      </c>
      <c r="D216">
        <f t="shared" si="35"/>
        <v>19.961852297147754</v>
      </c>
      <c r="E216">
        <f t="shared" si="33"/>
        <v>0.34139441738239046</v>
      </c>
      <c r="F216">
        <f t="shared" si="34"/>
        <v>82.582826958726798</v>
      </c>
      <c r="G216">
        <f t="shared" si="27"/>
        <v>31.31048733078952</v>
      </c>
      <c r="H216">
        <f t="shared" si="28"/>
        <v>301.15986678898309</v>
      </c>
      <c r="J216">
        <f t="shared" si="29"/>
        <v>1.35971943887776</v>
      </c>
      <c r="K216">
        <f t="shared" si="30"/>
        <v>3.7435517612638507</v>
      </c>
      <c r="L216">
        <v>0</v>
      </c>
    </row>
    <row r="217" spans="1:12" x14ac:dyDescent="0.4">
      <c r="A217">
        <v>205</v>
      </c>
      <c r="B217">
        <f t="shared" si="31"/>
        <v>13.551102204408799</v>
      </c>
      <c r="C217">
        <f t="shared" si="32"/>
        <v>37.40748156852586</v>
      </c>
      <c r="D217">
        <f t="shared" si="35"/>
        <v>19.913247015238863</v>
      </c>
      <c r="E217">
        <f t="shared" si="33"/>
        <v>0.34059693951975478</v>
      </c>
      <c r="F217">
        <f t="shared" si="34"/>
        <v>82.492855044274393</v>
      </c>
      <c r="G217">
        <f t="shared" si="27"/>
        <v>31.289804014517763</v>
      </c>
      <c r="H217">
        <f t="shared" si="28"/>
        <v>297.41558911901205</v>
      </c>
      <c r="J217">
        <f t="shared" si="29"/>
        <v>1.35511022044088</v>
      </c>
      <c r="K217">
        <f t="shared" si="30"/>
        <v>3.740748156852586</v>
      </c>
      <c r="L217">
        <v>0</v>
      </c>
    </row>
    <row r="218" spans="1:12" x14ac:dyDescent="0.4">
      <c r="A218">
        <v>206</v>
      </c>
      <c r="B218">
        <f t="shared" si="31"/>
        <v>13.5050100200401</v>
      </c>
      <c r="C218">
        <f t="shared" si="32"/>
        <v>37.379468314390856</v>
      </c>
      <c r="D218">
        <f t="shared" si="35"/>
        <v>19.864527698379543</v>
      </c>
      <c r="E218">
        <f t="shared" si="33"/>
        <v>0.33979734468628919</v>
      </c>
      <c r="F218">
        <f t="shared" si="34"/>
        <v>82.402127727883894</v>
      </c>
      <c r="G218">
        <f t="shared" si="27"/>
        <v>31.268800014752173</v>
      </c>
      <c r="H218">
        <f t="shared" si="28"/>
        <v>293.73047506713249</v>
      </c>
      <c r="J218">
        <f t="shared" si="29"/>
        <v>1.35050100200401</v>
      </c>
      <c r="K218">
        <f t="shared" si="30"/>
        <v>3.7379468314390856</v>
      </c>
      <c r="L218">
        <v>0</v>
      </c>
    </row>
    <row r="219" spans="1:12" x14ac:dyDescent="0.4">
      <c r="A219">
        <v>207</v>
      </c>
      <c r="B219">
        <f t="shared" si="31"/>
        <v>13.458917835671301</v>
      </c>
      <c r="C219">
        <f t="shared" si="32"/>
        <v>37.35147819334798</v>
      </c>
      <c r="D219">
        <f t="shared" si="35"/>
        <v>19.815693966069425</v>
      </c>
      <c r="E219">
        <f t="shared" si="33"/>
        <v>0.3389956254851601</v>
      </c>
      <c r="F219">
        <f t="shared" si="34"/>
        <v>82.310640467942704</v>
      </c>
      <c r="G219">
        <f t="shared" si="27"/>
        <v>31.24747325093664</v>
      </c>
      <c r="H219">
        <f t="shared" si="28"/>
        <v>290.10332997972915</v>
      </c>
      <c r="J219">
        <f t="shared" si="29"/>
        <v>1.34589178356713</v>
      </c>
      <c r="K219">
        <f t="shared" si="30"/>
        <v>3.7351478193347978</v>
      </c>
      <c r="L219">
        <v>0</v>
      </c>
    </row>
    <row r="220" spans="1:12" x14ac:dyDescent="0.4">
      <c r="A220">
        <v>208</v>
      </c>
      <c r="B220">
        <f t="shared" si="31"/>
        <v>13.412825651302599</v>
      </c>
      <c r="C220">
        <f t="shared" si="32"/>
        <v>37.323511550342772</v>
      </c>
      <c r="D220">
        <f t="shared" si="35"/>
        <v>19.766745437964136</v>
      </c>
      <c r="E220">
        <f t="shared" si="33"/>
        <v>0.33819177451869226</v>
      </c>
      <c r="F220">
        <f t="shared" si="34"/>
        <v>82.218388697071958</v>
      </c>
      <c r="G220">
        <f t="shared" si="27"/>
        <v>31.225821629553913</v>
      </c>
      <c r="H220">
        <f t="shared" si="28"/>
        <v>286.53298855230884</v>
      </c>
      <c r="J220">
        <f t="shared" si="29"/>
        <v>1.34128256513026</v>
      </c>
      <c r="K220">
        <f t="shared" si="30"/>
        <v>3.7323511550342774</v>
      </c>
      <c r="L220">
        <v>0</v>
      </c>
    </row>
    <row r="221" spans="1:12" x14ac:dyDescent="0.4">
      <c r="A221">
        <v>209</v>
      </c>
      <c r="B221">
        <f t="shared" si="31"/>
        <v>13.3667334669339</v>
      </c>
      <c r="C221">
        <f t="shared" si="32"/>
        <v>37.295568732155921</v>
      </c>
      <c r="D221">
        <f t="shared" si="35"/>
        <v>19.717681733902289</v>
      </c>
      <c r="E221">
        <f t="shared" si="33"/>
        <v>0.33738578438886824</v>
      </c>
      <c r="F221">
        <f t="shared" si="34"/>
        <v>82.12536782208646</v>
      </c>
      <c r="G221">
        <f t="shared" si="27"/>
        <v>31.203843044092086</v>
      </c>
      <c r="H221">
        <f t="shared" si="28"/>
        <v>283.0183139746926</v>
      </c>
      <c r="J221">
        <f t="shared" si="29"/>
        <v>1.33667334669339</v>
      </c>
      <c r="K221">
        <f t="shared" si="30"/>
        <v>3.7295568732155919</v>
      </c>
      <c r="L221">
        <v>0</v>
      </c>
    </row>
    <row r="222" spans="1:12" x14ac:dyDescent="0.4">
      <c r="A222">
        <v>210</v>
      </c>
      <c r="B222">
        <f t="shared" si="31"/>
        <v>13.3206412825651</v>
      </c>
      <c r="C222">
        <f t="shared" si="32"/>
        <v>37.267650087407183</v>
      </c>
      <c r="D222">
        <f t="shared" si="35"/>
        <v>19.668502473934151</v>
      </c>
      <c r="E222">
        <f t="shared" si="33"/>
        <v>0.33657764769785703</v>
      </c>
      <c r="F222">
        <f t="shared" si="34"/>
        <v>82.031573223959541</v>
      </c>
      <c r="G222">
        <f t="shared" si="27"/>
        <v>31.181535375012693</v>
      </c>
      <c r="H222">
        <f t="shared" si="28"/>
        <v>279.55819710505608</v>
      </c>
      <c r="J222">
        <f t="shared" si="29"/>
        <v>1.33206412825651</v>
      </c>
      <c r="K222">
        <f t="shared" si="30"/>
        <v>3.7267650087407183</v>
      </c>
      <c r="L222">
        <v>0</v>
      </c>
    </row>
    <row r="223" spans="1:12" x14ac:dyDescent="0.4">
      <c r="A223">
        <v>211</v>
      </c>
      <c r="B223">
        <f t="shared" si="31"/>
        <v>13.274549098196401</v>
      </c>
      <c r="C223">
        <f t="shared" si="32"/>
        <v>37.239755966559294</v>
      </c>
      <c r="D223">
        <f t="shared" si="35"/>
        <v>19.619207278350835</v>
      </c>
      <c r="E223">
        <f t="shared" si="33"/>
        <v>0.33576735704855287</v>
      </c>
      <c r="F223">
        <f t="shared" si="34"/>
        <v>81.937000257790459</v>
      </c>
      <c r="G223">
        <f t="shared" si="27"/>
        <v>31.158896489719812</v>
      </c>
      <c r="H223">
        <f t="shared" si="28"/>
        <v>276.15155567162242</v>
      </c>
      <c r="J223">
        <f t="shared" si="29"/>
        <v>1.32745490981964</v>
      </c>
      <c r="K223">
        <f t="shared" si="30"/>
        <v>3.7239755966559294</v>
      </c>
      <c r="L223">
        <v>0</v>
      </c>
    </row>
    <row r="224" spans="1:12" x14ac:dyDescent="0.4">
      <c r="A224">
        <v>212</v>
      </c>
      <c r="B224">
        <f t="shared" si="31"/>
        <v>13.228456913827699</v>
      </c>
      <c r="C224">
        <f t="shared" si="32"/>
        <v>37.211886721921701</v>
      </c>
      <c r="D224">
        <f t="shared" si="35"/>
        <v>19.569795767712666</v>
      </c>
      <c r="E224">
        <f t="shared" si="33"/>
        <v>0.33495490504510195</v>
      </c>
      <c r="F224">
        <f t="shared" si="34"/>
        <v>81.841644252771985</v>
      </c>
      <c r="G224">
        <f t="shared" si="27"/>
        <v>31.135924242529661</v>
      </c>
      <c r="H224">
        <f t="shared" si="28"/>
        <v>272.79733350087736</v>
      </c>
      <c r="J224">
        <f t="shared" si="29"/>
        <v>1.32284569138277</v>
      </c>
      <c r="K224">
        <f t="shared" si="30"/>
        <v>3.7211886721921701</v>
      </c>
      <c r="L224">
        <v>0</v>
      </c>
    </row>
    <row r="225" spans="1:12" x14ac:dyDescent="0.4">
      <c r="A225">
        <v>213</v>
      </c>
      <c r="B225">
        <f t="shared" si="31"/>
        <v>13.1823647294589</v>
      </c>
      <c r="C225">
        <f t="shared" si="32"/>
        <v>37.184042707654257</v>
      </c>
      <c r="D225">
        <f t="shared" si="35"/>
        <v>19.520267562879258</v>
      </c>
      <c r="E225">
        <f t="shared" si="33"/>
        <v>0.33414028429345882</v>
      </c>
      <c r="F225">
        <f t="shared" si="34"/>
        <v>81.745500512163019</v>
      </c>
      <c r="G225">
        <f t="shared" si="27"/>
        <v>31.112616474641882</v>
      </c>
      <c r="H225">
        <f t="shared" si="28"/>
        <v>269.4944997714673</v>
      </c>
      <c r="J225">
        <f t="shared" si="29"/>
        <v>1.31823647294589</v>
      </c>
      <c r="K225">
        <f t="shared" si="30"/>
        <v>3.7184042707654257</v>
      </c>
      <c r="L225">
        <v>0</v>
      </c>
    </row>
    <row r="226" spans="1:12" x14ac:dyDescent="0.4">
      <c r="A226">
        <v>214</v>
      </c>
      <c r="B226">
        <f t="shared" si="31"/>
        <v>13.1362725450902</v>
      </c>
      <c r="C226">
        <f t="shared" si="32"/>
        <v>37.156224279770761</v>
      </c>
      <c r="D226">
        <f t="shared" si="35"/>
        <v>19.470622285039994</v>
      </c>
      <c r="E226">
        <f t="shared" si="33"/>
        <v>0.33332348740195111</v>
      </c>
      <c r="F226">
        <f t="shared" si="34"/>
        <v>81.648564313263932</v>
      </c>
      <c r="G226">
        <f t="shared" si="27"/>
        <v>31.088971014111969</v>
      </c>
      <c r="H226">
        <f t="shared" si="28"/>
        <v>266.24204829273077</v>
      </c>
      <c r="J226">
        <f t="shared" si="29"/>
        <v>1.31362725450902</v>
      </c>
      <c r="K226">
        <f t="shared" si="30"/>
        <v>3.7156224279770762</v>
      </c>
      <c r="L226">
        <v>0</v>
      </c>
    </row>
    <row r="227" spans="1:12" x14ac:dyDescent="0.4">
      <c r="A227">
        <v>215</v>
      </c>
      <c r="B227">
        <f t="shared" si="31"/>
        <v>13.0901803607214</v>
      </c>
      <c r="C227">
        <f t="shared" si="32"/>
        <v>37.128431796142429</v>
      </c>
      <c r="D227">
        <f t="shared" si="35"/>
        <v>19.420859555743618</v>
      </c>
      <c r="E227">
        <f t="shared" si="33"/>
        <v>0.3325045069818312</v>
      </c>
      <c r="F227">
        <f t="shared" si="34"/>
        <v>81.550830907391841</v>
      </c>
      <c r="G227">
        <f t="shared" si="27"/>
        <v>31.064985675824111</v>
      </c>
      <c r="H227">
        <f t="shared" si="28"/>
        <v>263.03899680685635</v>
      </c>
      <c r="J227">
        <f t="shared" si="29"/>
        <v>1.30901803607214</v>
      </c>
      <c r="K227">
        <f t="shared" si="30"/>
        <v>3.7128431796142429</v>
      </c>
      <c r="L227">
        <v>0</v>
      </c>
    </row>
    <row r="228" spans="1:12" x14ac:dyDescent="0.4">
      <c r="A228">
        <v>216</v>
      </c>
      <c r="B228">
        <f t="shared" si="31"/>
        <v>13.0440881763527</v>
      </c>
      <c r="C228">
        <f t="shared" si="32"/>
        <v>37.100665616501253</v>
      </c>
      <c r="D228">
        <f t="shared" si="35"/>
        <v>19.370978996930372</v>
      </c>
      <c r="E228">
        <f t="shared" si="33"/>
        <v>0.33168333564787134</v>
      </c>
      <c r="F228">
        <f t="shared" si="34"/>
        <v>81.452295519862872</v>
      </c>
      <c r="G228">
        <f t="shared" si="27"/>
        <v>31.040658261466248</v>
      </c>
      <c r="H228">
        <f t="shared" si="28"/>
        <v>259.88438631399754</v>
      </c>
      <c r="J228">
        <f t="shared" si="29"/>
        <v>1.3044088176352699</v>
      </c>
      <c r="K228">
        <f t="shared" si="30"/>
        <v>3.7100665616501254</v>
      </c>
      <c r="L228">
        <v>0</v>
      </c>
    </row>
    <row r="229" spans="1:12" x14ac:dyDescent="0.4">
      <c r="A229">
        <v>217</v>
      </c>
      <c r="B229">
        <f t="shared" si="31"/>
        <v>12.997995991984</v>
      </c>
      <c r="C229">
        <f t="shared" si="32"/>
        <v>37.072926102443219</v>
      </c>
      <c r="D229">
        <f t="shared" si="35"/>
        <v>19.320980230962448</v>
      </c>
      <c r="E229">
        <f t="shared" si="33"/>
        <v>0.33085996601893281</v>
      </c>
      <c r="F229">
        <f t="shared" si="34"/>
        <v>81.352953349973205</v>
      </c>
      <c r="G229">
        <f t="shared" si="27"/>
        <v>31.015986559505379</v>
      </c>
      <c r="H229">
        <f t="shared" si="28"/>
        <v>256.77728041924769</v>
      </c>
      <c r="J229">
        <f t="shared" si="29"/>
        <v>1.2997995991983999</v>
      </c>
      <c r="K229">
        <f t="shared" si="30"/>
        <v>3.707292610244322</v>
      </c>
      <c r="L229">
        <v>0</v>
      </c>
    </row>
    <row r="230" spans="1:12" x14ac:dyDescent="0.4">
      <c r="A230">
        <v>218</v>
      </c>
      <c r="B230">
        <f t="shared" si="31"/>
        <v>12.951903807615199</v>
      </c>
      <c r="C230">
        <f t="shared" si="32"/>
        <v>37.045213617431457</v>
      </c>
      <c r="D230">
        <f t="shared" si="35"/>
        <v>19.270862880656374</v>
      </c>
      <c r="E230">
        <f t="shared" si="33"/>
        <v>0.3300343907185681</v>
      </c>
      <c r="F230">
        <f t="shared" si="34"/>
        <v>81.252799570985644</v>
      </c>
      <c r="G230">
        <f t="shared" si="27"/>
        <v>30.990968345164635</v>
      </c>
      <c r="H230">
        <f t="shared" si="28"/>
        <v>253.71676470086004</v>
      </c>
      <c r="J230">
        <f t="shared" si="29"/>
        <v>1.2951903807615199</v>
      </c>
      <c r="K230">
        <f t="shared" si="30"/>
        <v>3.7045213617431458</v>
      </c>
      <c r="L230">
        <v>0</v>
      </c>
    </row>
    <row r="231" spans="1:12" x14ac:dyDescent="0.4">
      <c r="A231">
        <v>219</v>
      </c>
      <c r="B231">
        <f t="shared" si="31"/>
        <v>12.9058116232465</v>
      </c>
      <c r="C231">
        <f t="shared" si="32"/>
        <v>37.017528526799268</v>
      </c>
      <c r="D231">
        <f t="shared" si="35"/>
        <v>19.220626569315804</v>
      </c>
      <c r="E231">
        <f t="shared" si="33"/>
        <v>0.32920660237563237</v>
      </c>
      <c r="F231">
        <f t="shared" si="34"/>
        <v>81.151829330119483</v>
      </c>
      <c r="G231">
        <f t="shared" si="27"/>
        <v>30.965601380401839</v>
      </c>
      <c r="H231">
        <f t="shared" si="28"/>
        <v>250.70194609887167</v>
      </c>
      <c r="J231">
        <f t="shared" si="29"/>
        <v>1.2905811623246499</v>
      </c>
      <c r="K231">
        <f t="shared" si="30"/>
        <v>3.7017528526799266</v>
      </c>
      <c r="L231">
        <v>0</v>
      </c>
    </row>
    <row r="232" spans="1:12" x14ac:dyDescent="0.4">
      <c r="A232">
        <v>220</v>
      </c>
      <c r="B232">
        <f t="shared" si="31"/>
        <v>12.8597194388778</v>
      </c>
      <c r="C232">
        <f t="shared" si="32"/>
        <v>36.98987119775299</v>
      </c>
      <c r="D232">
        <f t="shared" si="35"/>
        <v>19.170270920763571</v>
      </c>
      <c r="E232">
        <f t="shared" si="33"/>
        <v>0.32837659362488342</v>
      </c>
      <c r="F232">
        <f t="shared" si="34"/>
        <v>81.050037748540561</v>
      </c>
      <c r="G232">
        <f t="shared" si="27"/>
        <v>30.939883413888495</v>
      </c>
      <c r="H232">
        <f t="shared" si="28"/>
        <v>247.73195232328246</v>
      </c>
      <c r="J232">
        <f t="shared" si="29"/>
        <v>1.2859719438877799</v>
      </c>
      <c r="K232">
        <f t="shared" si="30"/>
        <v>3.6989871197752988</v>
      </c>
      <c r="L232">
        <v>0</v>
      </c>
    </row>
    <row r="233" spans="1:12" x14ac:dyDescent="0.4">
      <c r="A233">
        <v>221</v>
      </c>
      <c r="B233">
        <f t="shared" si="31"/>
        <v>12.813627254509001</v>
      </c>
      <c r="C233">
        <f t="shared" si="32"/>
        <v>36.962241999374832</v>
      </c>
      <c r="D233">
        <f t="shared" si="35"/>
        <v>19.119795559375429</v>
      </c>
      <c r="E233">
        <f t="shared" si="33"/>
        <v>0.32754435710761221</v>
      </c>
      <c r="F233">
        <f t="shared" si="34"/>
        <v>80.947419921357209</v>
      </c>
      <c r="G233">
        <f t="shared" si="27"/>
        <v>30.913812180990888</v>
      </c>
      <c r="H233">
        <f t="shared" si="28"/>
        <v>244.80593128125179</v>
      </c>
      <c r="J233">
        <f t="shared" si="29"/>
        <v>1.2813627254509001</v>
      </c>
      <c r="K233">
        <f t="shared" si="30"/>
        <v>3.6962241999374834</v>
      </c>
      <c r="L233">
        <v>0</v>
      </c>
    </row>
    <row r="234" spans="1:12" x14ac:dyDescent="0.4">
      <c r="A234">
        <v>222</v>
      </c>
      <c r="B234">
        <f t="shared" si="31"/>
        <v>12.767535070140299</v>
      </c>
      <c r="C234">
        <f t="shared" si="32"/>
        <v>36.934641302625515</v>
      </c>
      <c r="D234">
        <f t="shared" si="35"/>
        <v>19.069200110114298</v>
      </c>
      <c r="E234">
        <f t="shared" si="33"/>
        <v>0.32670988547228214</v>
      </c>
      <c r="F234">
        <f t="shared" si="34"/>
        <v>80.843970917619373</v>
      </c>
      <c r="G234">
        <f t="shared" si="27"/>
        <v>30.887385403752539</v>
      </c>
      <c r="H234">
        <f t="shared" si="28"/>
        <v>241.92305052252561</v>
      </c>
      <c r="J234">
        <f t="shared" si="29"/>
        <v>1.2767535070140299</v>
      </c>
      <c r="K234">
        <f t="shared" si="30"/>
        <v>3.6934641302625515</v>
      </c>
      <c r="L234">
        <v>0</v>
      </c>
    </row>
    <row r="235" spans="1:12" x14ac:dyDescent="0.4">
      <c r="A235">
        <v>223</v>
      </c>
      <c r="B235">
        <f t="shared" si="31"/>
        <v>12.7214428857715</v>
      </c>
      <c r="C235">
        <f t="shared" si="32"/>
        <v>36.90706948034682</v>
      </c>
      <c r="D235">
        <f t="shared" si="35"/>
        <v>19.018484198563598</v>
      </c>
      <c r="E235">
        <f t="shared" si="33"/>
        <v>0.32587317137515648</v>
      </c>
      <c r="F235">
        <f t="shared" si="34"/>
        <v>80.739685780318041</v>
      </c>
      <c r="G235">
        <f t="shared" si="27"/>
        <v>30.860600790877221</v>
      </c>
      <c r="H235">
        <f t="shared" si="28"/>
        <v>239.08249670237632</v>
      </c>
      <c r="J235">
        <f t="shared" si="29"/>
        <v>1.2721442885771501</v>
      </c>
      <c r="K235">
        <f t="shared" si="30"/>
        <v>3.6907069480346819</v>
      </c>
      <c r="L235">
        <v>0</v>
      </c>
    </row>
    <row r="236" spans="1:12" x14ac:dyDescent="0.4">
      <c r="A236">
        <v>224</v>
      </c>
      <c r="B236">
        <f t="shared" si="31"/>
        <v>12.675350701402801</v>
      </c>
      <c r="C236">
        <f t="shared" si="32"/>
        <v>36.879526907264022</v>
      </c>
      <c r="D236">
        <f t="shared" si="35"/>
        <v>18.967647450963131</v>
      </c>
      <c r="E236">
        <f t="shared" si="33"/>
        <v>0.32503420748096873</v>
      </c>
      <c r="F236">
        <f t="shared" si="34"/>
        <v>80.634559526392422</v>
      </c>
      <c r="G236">
        <f t="shared" si="27"/>
        <v>30.833456037714647</v>
      </c>
      <c r="H236">
        <f t="shared" si="28"/>
        <v>236.28347506160335</v>
      </c>
      <c r="J236">
        <f t="shared" si="29"/>
        <v>1.2675350701402801</v>
      </c>
      <c r="K236">
        <f t="shared" si="30"/>
        <v>3.6879526907264024</v>
      </c>
      <c r="L236">
        <v>0</v>
      </c>
    </row>
    <row r="237" spans="1:12" x14ac:dyDescent="0.4">
      <c r="A237">
        <v>225</v>
      </c>
      <c r="B237">
        <f t="shared" si="31"/>
        <v>12.629258517034099</v>
      </c>
      <c r="C237">
        <f t="shared" si="32"/>
        <v>36.852013959988206</v>
      </c>
      <c r="D237">
        <f t="shared" si="35"/>
        <v>18.916689494243371</v>
      </c>
      <c r="E237">
        <f t="shared" si="33"/>
        <v>0.32419298646356853</v>
      </c>
      <c r="F237">
        <f t="shared" si="34"/>
        <v>80.528587146736001</v>
      </c>
      <c r="G237">
        <f t="shared" si="27"/>
        <v>30.805948826246315</v>
      </c>
      <c r="H237">
        <f t="shared" si="28"/>
        <v>233.52520892276533</v>
      </c>
      <c r="J237">
        <f t="shared" si="29"/>
        <v>1.2629258517034099</v>
      </c>
      <c r="K237">
        <f t="shared" si="30"/>
        <v>3.6852013959988206</v>
      </c>
      <c r="L237">
        <v>0</v>
      </c>
    </row>
    <row r="238" spans="1:12" x14ac:dyDescent="0.4">
      <c r="A238">
        <v>226</v>
      </c>
      <c r="B238">
        <f t="shared" si="31"/>
        <v>12.5831663326653</v>
      </c>
      <c r="C238">
        <f t="shared" si="32"/>
        <v>36.824531017018408</v>
      </c>
      <c r="D238">
        <f t="shared" si="35"/>
        <v>18.865609956061686</v>
      </c>
      <c r="E238">
        <f t="shared" si="33"/>
        <v>0.32334950100660165</v>
      </c>
      <c r="F238">
        <f t="shared" si="34"/>
        <v>80.421763606209254</v>
      </c>
      <c r="G238">
        <f t="shared" si="27"/>
        <v>30.778076825073782</v>
      </c>
      <c r="H238">
        <f t="shared" si="28"/>
        <v>230.80693920225315</v>
      </c>
      <c r="J238">
        <f t="shared" si="29"/>
        <v>1.2583166332665301</v>
      </c>
      <c r="K238">
        <f t="shared" si="30"/>
        <v>3.6824531017018409</v>
      </c>
      <c r="L238">
        <v>0</v>
      </c>
    </row>
    <row r="239" spans="1:12" x14ac:dyDescent="0.4">
      <c r="A239">
        <v>227</v>
      </c>
      <c r="B239">
        <f t="shared" si="31"/>
        <v>12.5370741482966</v>
      </c>
      <c r="C239">
        <f t="shared" si="32"/>
        <v>36.797078458743698</v>
      </c>
      <c r="D239">
        <f t="shared" si="35"/>
        <v>18.814408464838934</v>
      </c>
      <c r="E239">
        <f t="shared" si="33"/>
        <v>0.32250374380419772</v>
      </c>
      <c r="F239">
        <f t="shared" si="34"/>
        <v>80.314083843655567</v>
      </c>
      <c r="G239">
        <f t="shared" si="27"/>
        <v>30.749837689408317</v>
      </c>
      <c r="H239">
        <f t="shared" si="28"/>
        <v>228.12792393755498</v>
      </c>
      <c r="J239">
        <f t="shared" si="29"/>
        <v>1.2537074148296601</v>
      </c>
      <c r="K239">
        <f t="shared" si="30"/>
        <v>3.6797078458743697</v>
      </c>
      <c r="L239">
        <v>0</v>
      </c>
    </row>
    <row r="240" spans="1:12" x14ac:dyDescent="0.4">
      <c r="A240">
        <v>228</v>
      </c>
      <c r="B240">
        <f t="shared" si="31"/>
        <v>12.490981963927901</v>
      </c>
      <c r="C240">
        <f t="shared" si="32"/>
        <v>36.769656667445069</v>
      </c>
      <c r="D240">
        <f t="shared" si="35"/>
        <v>18.763084649795438</v>
      </c>
      <c r="E240">
        <f t="shared" si="33"/>
        <v>0.32165570756164946</v>
      </c>
      <c r="F240">
        <f t="shared" si="34"/>
        <v>80.205542771918346</v>
      </c>
      <c r="G240">
        <f t="shared" si="27"/>
        <v>30.721229061061454</v>
      </c>
      <c r="H240">
        <f t="shared" si="28"/>
        <v>225.48743782912914</v>
      </c>
      <c r="J240">
        <f t="shared" si="29"/>
        <v>1.2490981963927901</v>
      </c>
      <c r="K240">
        <f t="shared" si="30"/>
        <v>3.6769656667445068</v>
      </c>
      <c r="L240">
        <v>0</v>
      </c>
    </row>
    <row r="241" spans="1:12" x14ac:dyDescent="0.4">
      <c r="A241">
        <v>229</v>
      </c>
      <c r="B241">
        <f t="shared" si="31"/>
        <v>12.4448897795591</v>
      </c>
      <c r="C241">
        <f t="shared" si="32"/>
        <v>36.742266027297255</v>
      </c>
      <c r="D241">
        <f t="shared" si="35"/>
        <v>18.711638140988619</v>
      </c>
      <c r="E241">
        <f t="shared" si="33"/>
        <v>0.32080538499612166</v>
      </c>
      <c r="F241">
        <f t="shared" si="34"/>
        <v>80.096135277864335</v>
      </c>
      <c r="G241">
        <f t="shared" si="27"/>
        <v>30.692248568437858</v>
      </c>
      <c r="H241">
        <f t="shared" si="28"/>
        <v>222.88477179648604</v>
      </c>
      <c r="J241">
        <f t="shared" si="29"/>
        <v>1.2444889779559101</v>
      </c>
      <c r="K241">
        <f t="shared" si="30"/>
        <v>3.6742266027297257</v>
      </c>
      <c r="L241">
        <v>0</v>
      </c>
    </row>
    <row r="242" spans="1:12" x14ac:dyDescent="0.4">
      <c r="A242">
        <v>230</v>
      </c>
      <c r="B242">
        <f t="shared" si="31"/>
        <v>12.3987975951904</v>
      </c>
      <c r="C242">
        <f t="shared" si="32"/>
        <v>36.714906924370347</v>
      </c>
      <c r="D242">
        <f t="shared" si="35"/>
        <v>18.660068569351171</v>
      </c>
      <c r="E242">
        <f t="shared" si="33"/>
        <v>0.31995276883737017</v>
      </c>
      <c r="F242">
        <f t="shared" si="34"/>
        <v>79.98585622241076</v>
      </c>
      <c r="G242">
        <f t="shared" si="27"/>
        <v>30.662893826529796</v>
      </c>
      <c r="H242">
        <f t="shared" si="28"/>
        <v>220.3192325479219</v>
      </c>
      <c r="J242">
        <f t="shared" si="29"/>
        <v>1.2398797595190401</v>
      </c>
      <c r="K242">
        <f t="shared" si="30"/>
        <v>3.6714906924370347</v>
      </c>
      <c r="L242">
        <v>0</v>
      </c>
    </row>
    <row r="243" spans="1:12" x14ac:dyDescent="0.4">
      <c r="A243">
        <v>231</v>
      </c>
      <c r="B243">
        <f t="shared" si="31"/>
        <v>12.352705410821599</v>
      </c>
      <c r="C243">
        <f t="shared" si="32"/>
        <v>36.687579746631329</v>
      </c>
      <c r="D243">
        <f t="shared" si="35"/>
        <v>18.608375566728334</v>
      </c>
      <c r="E243">
        <f t="shared" si="33"/>
        <v>0.3190978518284488</v>
      </c>
      <c r="F243">
        <f t="shared" si="34"/>
        <v>79.874700440553227</v>
      </c>
      <c r="G243">
        <f t="shared" si="27"/>
        <v>30.633162436912446</v>
      </c>
      <c r="H243">
        <f t="shared" si="28"/>
        <v>217.79014216336287</v>
      </c>
      <c r="J243">
        <f t="shared" si="29"/>
        <v>1.2352705410821598</v>
      </c>
      <c r="K243">
        <f t="shared" si="30"/>
        <v>3.6687579746631327</v>
      </c>
      <c r="L243">
        <v>0</v>
      </c>
    </row>
    <row r="244" spans="1:12" x14ac:dyDescent="0.4">
      <c r="A244">
        <v>232</v>
      </c>
      <c r="B244">
        <f t="shared" si="31"/>
        <v>12.3066132264529</v>
      </c>
      <c r="C244">
        <f t="shared" si="32"/>
        <v>36.660284883945465</v>
      </c>
      <c r="D244">
        <f t="shared" si="35"/>
        <v>18.55655876591776</v>
      </c>
      <c r="E244">
        <f t="shared" si="33"/>
        <v>0.31824062672646031</v>
      </c>
      <c r="F244">
        <f t="shared" si="34"/>
        <v>79.762662741402011</v>
      </c>
      <c r="G244">
        <f t="shared" si="27"/>
        <v>30.603051987742127</v>
      </c>
      <c r="H244">
        <f t="shared" si="28"/>
        <v>215.29683769002443</v>
      </c>
      <c r="J244">
        <f t="shared" si="29"/>
        <v>1.23066132264529</v>
      </c>
      <c r="K244">
        <f t="shared" si="30"/>
        <v>3.6660284883945464</v>
      </c>
      <c r="L244">
        <v>0</v>
      </c>
    </row>
    <row r="245" spans="1:12" x14ac:dyDescent="0.4">
      <c r="A245">
        <v>233</v>
      </c>
      <c r="B245">
        <f t="shared" si="31"/>
        <v>12.2605210420842</v>
      </c>
      <c r="C245">
        <f t="shared" si="32"/>
        <v>36.633022728077528</v>
      </c>
      <c r="D245">
        <f t="shared" si="35"/>
        <v>18.504617800707805</v>
      </c>
      <c r="E245">
        <f t="shared" si="33"/>
        <v>0.31738108630328377</v>
      </c>
      <c r="F245">
        <f t="shared" si="34"/>
        <v>79.649737908217915</v>
      </c>
      <c r="G245">
        <f t="shared" si="27"/>
        <v>30.572560053755055</v>
      </c>
      <c r="H245">
        <f t="shared" si="28"/>
        <v>212.83867075025611</v>
      </c>
      <c r="J245">
        <f t="shared" si="29"/>
        <v>1.22605210420842</v>
      </c>
      <c r="K245">
        <f t="shared" si="30"/>
        <v>3.6633022728077527</v>
      </c>
      <c r="L245">
        <v>0</v>
      </c>
    </row>
    <row r="246" spans="1:12" x14ac:dyDescent="0.4">
      <c r="A246">
        <v>234</v>
      </c>
      <c r="B246">
        <f t="shared" si="31"/>
        <v>12.214428857715401</v>
      </c>
      <c r="C246">
        <f t="shared" si="32"/>
        <v>36.605793672692883</v>
      </c>
      <c r="D246">
        <f t="shared" si="35"/>
        <v>18.452552305917738</v>
      </c>
      <c r="E246">
        <f t="shared" si="33"/>
        <v>0.31651922334633509</v>
      </c>
      <c r="F246">
        <f t="shared" si="34"/>
        <v>79.535920698454987</v>
      </c>
      <c r="G246">
        <f t="shared" si="27"/>
        <v>30.541684196268626</v>
      </c>
      <c r="H246">
        <f t="shared" si="28"/>
        <v>210.41500716130145</v>
      </c>
      <c r="J246">
        <f t="shared" si="29"/>
        <v>1.22144288577154</v>
      </c>
      <c r="K246">
        <f t="shared" si="30"/>
        <v>3.6605793672692881</v>
      </c>
      <c r="L246">
        <v>0</v>
      </c>
    </row>
    <row r="247" spans="1:12" x14ac:dyDescent="0.4">
      <c r="A247">
        <v>235</v>
      </c>
      <c r="B247">
        <f t="shared" si="31"/>
        <v>12.168336673346699</v>
      </c>
      <c r="C247">
        <f t="shared" si="32"/>
        <v>36.57859811335846</v>
      </c>
      <c r="D247">
        <f t="shared" si="35"/>
        <v>18.400361917438435</v>
      </c>
      <c r="E247">
        <f t="shared" si="33"/>
        <v>0.31565503065933814</v>
      </c>
      <c r="F247">
        <f t="shared" si="34"/>
        <v>79.421205843807456</v>
      </c>
      <c r="G247">
        <f t="shared" si="27"/>
        <v>30.510421963184513</v>
      </c>
      <c r="H247">
        <f t="shared" si="28"/>
        <v>208.02522656650902</v>
      </c>
      <c r="J247">
        <f t="shared" si="29"/>
        <v>1.21683366733467</v>
      </c>
      <c r="K247">
        <f t="shared" si="30"/>
        <v>3.6578598113358458</v>
      </c>
      <c r="L247">
        <v>0</v>
      </c>
    </row>
    <row r="248" spans="1:12" x14ac:dyDescent="0.4">
      <c r="A248">
        <v>236</v>
      </c>
      <c r="B248">
        <f t="shared" si="31"/>
        <v>12.122244488978</v>
      </c>
      <c r="C248">
        <f t="shared" si="32"/>
        <v>36.551436447543566</v>
      </c>
      <c r="D248">
        <f t="shared" si="35"/>
        <v>18.348046272272359</v>
      </c>
      <c r="E248">
        <f t="shared" si="33"/>
        <v>0.31478850106308581</v>
      </c>
      <c r="F248">
        <f t="shared" si="34"/>
        <v>79.30558805025818</v>
      </c>
      <c r="G248">
        <f t="shared" si="27"/>
        <v>30.478770888992912</v>
      </c>
      <c r="H248">
        <f t="shared" si="28"/>
        <v>205.66872207754571</v>
      </c>
      <c r="J248">
        <f t="shared" si="29"/>
        <v>1.2122244488978</v>
      </c>
      <c r="K248">
        <f t="shared" si="30"/>
        <v>3.6551436447543564</v>
      </c>
      <c r="L248">
        <v>0</v>
      </c>
    </row>
    <row r="249" spans="1:12" x14ac:dyDescent="0.4">
      <c r="A249">
        <v>237</v>
      </c>
      <c r="B249">
        <f t="shared" si="31"/>
        <v>12.076152304609201</v>
      </c>
      <c r="C249">
        <f t="shared" si="32"/>
        <v>36.524309074620533</v>
      </c>
      <c r="D249">
        <f t="shared" si="35"/>
        <v>18.295605008575308</v>
      </c>
      <c r="E249">
        <f t="shared" si="33"/>
        <v>0.31391962739623192</v>
      </c>
      <c r="F249">
        <f t="shared" si="34"/>
        <v>79.189061998133951</v>
      </c>
      <c r="G249">
        <f t="shared" si="27"/>
        <v>30.446728494779322</v>
      </c>
      <c r="H249">
        <f t="shared" si="28"/>
        <v>203.34489992734566</v>
      </c>
      <c r="J249">
        <f t="shared" si="29"/>
        <v>1.20761523046092</v>
      </c>
      <c r="K249">
        <f t="shared" si="30"/>
        <v>3.6524309074620533</v>
      </c>
      <c r="L249">
        <v>0</v>
      </c>
    </row>
    <row r="250" spans="1:12" x14ac:dyDescent="0.4">
      <c r="A250">
        <v>238</v>
      </c>
      <c r="B250">
        <f t="shared" si="31"/>
        <v>12.030060120240501</v>
      </c>
      <c r="C250">
        <f t="shared" si="32"/>
        <v>36.49721639586523</v>
      </c>
      <c r="D250">
        <f t="shared" si="35"/>
        <v>18.243037765698674</v>
      </c>
      <c r="E250">
        <f t="shared" si="33"/>
        <v>0.31304840251609439</v>
      </c>
      <c r="F250">
        <f t="shared" si="34"/>
        <v>79.071622342165313</v>
      </c>
      <c r="G250">
        <f t="shared" si="27"/>
        <v>30.41429228823332</v>
      </c>
      <c r="H250">
        <f t="shared" si="28"/>
        <v>201.05317913338041</v>
      </c>
      <c r="J250">
        <f t="shared" si="29"/>
        <v>1.20300601202405</v>
      </c>
      <c r="K250">
        <f t="shared" si="30"/>
        <v>3.6497216395865228</v>
      </c>
      <c r="L250">
        <v>0</v>
      </c>
    </row>
    <row r="251" spans="1:12" x14ac:dyDescent="0.4">
      <c r="A251">
        <v>239</v>
      </c>
      <c r="B251">
        <f t="shared" si="31"/>
        <v>11.9839679358717</v>
      </c>
      <c r="C251">
        <f t="shared" si="32"/>
        <v>36.470158814457434</v>
      </c>
      <c r="D251">
        <f t="shared" si="35"/>
        <v>18.190344184230838</v>
      </c>
      <c r="E251">
        <f t="shared" si="33"/>
        <v>0.31217481929944563</v>
      </c>
      <c r="F251">
        <f t="shared" si="34"/>
        <v>78.953263711547407</v>
      </c>
      <c r="G251">
        <f t="shared" si="27"/>
        <v>30.381459763658285</v>
      </c>
      <c r="H251">
        <f t="shared" si="28"/>
        <v>198.79299117083644</v>
      </c>
      <c r="J251">
        <f t="shared" si="29"/>
        <v>1.19839679358717</v>
      </c>
      <c r="K251">
        <f t="shared" si="30"/>
        <v>3.6470158814457436</v>
      </c>
      <c r="L251">
        <v>0</v>
      </c>
    </row>
    <row r="252" spans="1:12" x14ac:dyDescent="0.4">
      <c r="A252">
        <v>240</v>
      </c>
      <c r="B252">
        <f t="shared" si="31"/>
        <v>11.937875751503</v>
      </c>
      <c r="C252">
        <f t="shared" si="32"/>
        <v>36.443136735481033</v>
      </c>
      <c r="D252">
        <f t="shared" si="35"/>
        <v>18.137523906041213</v>
      </c>
      <c r="E252">
        <f t="shared" si="33"/>
        <v>0.31129887064334893</v>
      </c>
      <c r="F252">
        <f t="shared" si="34"/>
        <v>78.833980710010508</v>
      </c>
      <c r="G252">
        <f t="shared" si="27"/>
        <v>30.348228401984649</v>
      </c>
      <c r="H252">
        <f t="shared" si="28"/>
        <v>196.56377965552673</v>
      </c>
      <c r="J252">
        <f t="shared" si="29"/>
        <v>1.1937875751503</v>
      </c>
      <c r="K252">
        <f t="shared" si="30"/>
        <v>3.6443136735481034</v>
      </c>
      <c r="L252">
        <v>0</v>
      </c>
    </row>
    <row r="253" spans="1:12" x14ac:dyDescent="0.4">
      <c r="A253">
        <v>241</v>
      </c>
      <c r="B253">
        <f t="shared" si="31"/>
        <v>11.891783567134301</v>
      </c>
      <c r="C253">
        <f t="shared" si="32"/>
        <v>36.416150565924085</v>
      </c>
      <c r="D253">
        <f t="shared" si="35"/>
        <v>18.084576574322636</v>
      </c>
      <c r="E253">
        <f t="shared" si="33"/>
        <v>0.3104205494659697</v>
      </c>
      <c r="F253">
        <f t="shared" si="34"/>
        <v>78.713767915889747</v>
      </c>
      <c r="G253">
        <f t="shared" si="27"/>
        <v>30.314595670783554</v>
      </c>
      <c r="H253">
        <f t="shared" si="28"/>
        <v>194.36500003601827</v>
      </c>
      <c r="J253">
        <f t="shared" si="29"/>
        <v>1.18917835671343</v>
      </c>
      <c r="K253">
        <f t="shared" si="30"/>
        <v>3.6416150565924084</v>
      </c>
      <c r="L253">
        <v>0</v>
      </c>
    </row>
    <row r="254" spans="1:12" x14ac:dyDescent="0.4">
      <c r="A254">
        <v>242</v>
      </c>
      <c r="B254">
        <f t="shared" si="31"/>
        <v>11.8456913827655</v>
      </c>
      <c r="C254">
        <f t="shared" si="32"/>
        <v>36.389200714678701</v>
      </c>
      <c r="D254">
        <f t="shared" si="35"/>
        <v>18.03150183363579</v>
      </c>
      <c r="E254">
        <f t="shared" si="33"/>
        <v>0.3095398487074224</v>
      </c>
      <c r="F254">
        <f t="shared" si="34"/>
        <v>78.592619882203337</v>
      </c>
      <c r="G254">
        <f t="shared" si="27"/>
        <v>30.280559024283775</v>
      </c>
      <c r="H254">
        <f t="shared" si="28"/>
        <v>192.1961192948315</v>
      </c>
      <c r="J254">
        <f t="shared" si="29"/>
        <v>1.18456913827655</v>
      </c>
      <c r="K254">
        <f t="shared" si="30"/>
        <v>3.63892007146787</v>
      </c>
      <c r="L254">
        <v>0</v>
      </c>
    </row>
    <row r="255" spans="1:12" x14ac:dyDescent="0.4">
      <c r="A255">
        <v>243</v>
      </c>
      <c r="B255">
        <f t="shared" si="31"/>
        <v>11.7995991983968</v>
      </c>
      <c r="C255">
        <f t="shared" si="32"/>
        <v>36.362287592540802</v>
      </c>
      <c r="D255">
        <f t="shared" si="35"/>
        <v>17.978299329954091</v>
      </c>
      <c r="E255">
        <f t="shared" si="33"/>
        <v>0.30865676133062731</v>
      </c>
      <c r="F255">
        <f t="shared" si="34"/>
        <v>78.470531136734863</v>
      </c>
      <c r="G255">
        <f t="shared" si="27"/>
        <v>30.246115903390386</v>
      </c>
      <c r="H255">
        <f t="shared" si="28"/>
        <v>190.05661565833341</v>
      </c>
      <c r="J255">
        <f t="shared" si="29"/>
        <v>1.17995991983968</v>
      </c>
      <c r="K255">
        <f t="shared" si="30"/>
        <v>3.6362287592540801</v>
      </c>
      <c r="L255">
        <v>0</v>
      </c>
    </row>
    <row r="256" spans="1:12" x14ac:dyDescent="0.4">
      <c r="A256">
        <v>244</v>
      </c>
      <c r="B256">
        <f t="shared" si="31"/>
        <v>11.7535070140281</v>
      </c>
      <c r="C256">
        <f t="shared" si="32"/>
        <v>36.335411612209683</v>
      </c>
      <c r="D256">
        <f t="shared" si="35"/>
        <v>17.924968710707855</v>
      </c>
      <c r="E256">
        <f t="shared" si="33"/>
        <v>0.3077712803221575</v>
      </c>
      <c r="F256">
        <f t="shared" si="34"/>
        <v>78.347496182118078</v>
      </c>
      <c r="G256">
        <f t="shared" si="27"/>
        <v>30.21126373570511</v>
      </c>
      <c r="H256">
        <f t="shared" si="28"/>
        <v>187.94597831500724</v>
      </c>
      <c r="J256">
        <f t="shared" si="29"/>
        <v>1.1753507014028099</v>
      </c>
      <c r="K256">
        <f t="shared" si="30"/>
        <v>3.6335411612209683</v>
      </c>
      <c r="L256">
        <v>0</v>
      </c>
    </row>
    <row r="257" spans="1:12" x14ac:dyDescent="0.4">
      <c r="A257">
        <v>245</v>
      </c>
      <c r="B257">
        <f t="shared" si="31"/>
        <v>11.707414829659299</v>
      </c>
      <c r="C257">
        <f t="shared" si="32"/>
        <v>36.30857318828744</v>
      </c>
      <c r="D257">
        <f t="shared" si="35"/>
        <v>17.871509624830281</v>
      </c>
      <c r="E257">
        <f t="shared" si="33"/>
        <v>0.30688339869311804</v>
      </c>
      <c r="F257">
        <f t="shared" si="34"/>
        <v>78.223509495929207</v>
      </c>
      <c r="G257">
        <f t="shared" si="27"/>
        <v>30.175999935549463</v>
      </c>
      <c r="H257">
        <f t="shared" si="28"/>
        <v>185.86370714190861</v>
      </c>
      <c r="J257">
        <f t="shared" si="29"/>
        <v>1.1707414829659299</v>
      </c>
      <c r="K257">
        <f t="shared" si="30"/>
        <v>3.6308573188287441</v>
      </c>
      <c r="L257">
        <v>0</v>
      </c>
    </row>
    <row r="258" spans="1:12" x14ac:dyDescent="0.4">
      <c r="A258">
        <v>246</v>
      </c>
      <c r="B258">
        <f t="shared" si="31"/>
        <v>11.6613226452906</v>
      </c>
      <c r="C258">
        <f t="shared" si="32"/>
        <v>36.281772737278217</v>
      </c>
      <c r="D258">
        <f t="shared" si="35"/>
        <v>17.817921722803963</v>
      </c>
      <c r="E258">
        <f t="shared" si="33"/>
        <v>0.30599310948003594</v>
      </c>
      <c r="F258">
        <f t="shared" si="34"/>
        <v>78.0985655307841</v>
      </c>
      <c r="G258">
        <f t="shared" si="27"/>
        <v>30.14032190399007</v>
      </c>
      <c r="H258">
        <f t="shared" si="28"/>
        <v>183.8093124389886</v>
      </c>
      <c r="J258">
        <f t="shared" si="29"/>
        <v>1.1661322645290599</v>
      </c>
      <c r="K258">
        <f t="shared" si="30"/>
        <v>3.6281772737278217</v>
      </c>
      <c r="L258">
        <v>0</v>
      </c>
    </row>
    <row r="259" spans="1:12" x14ac:dyDescent="0.4">
      <c r="A259">
        <v>247</v>
      </c>
      <c r="B259">
        <f t="shared" si="31"/>
        <v>11.615230460921801</v>
      </c>
      <c r="C259">
        <f t="shared" si="32"/>
        <v>36.255010677587286</v>
      </c>
      <c r="D259">
        <f t="shared" si="35"/>
        <v>17.764204656706532</v>
      </c>
      <c r="E259">
        <f t="shared" si="33"/>
        <v>0.30510040574573855</v>
      </c>
      <c r="F259">
        <f t="shared" si="34"/>
        <v>77.972658714437571</v>
      </c>
      <c r="G259">
        <f t="shared" si="27"/>
        <v>30.10422702886552</v>
      </c>
      <c r="H259">
        <f t="shared" si="28"/>
        <v>181.78231467099152</v>
      </c>
      <c r="J259">
        <f t="shared" si="29"/>
        <v>1.1615230460921802</v>
      </c>
      <c r="K259">
        <f t="shared" si="30"/>
        <v>3.6255010677587287</v>
      </c>
      <c r="L259">
        <v>0</v>
      </c>
    </row>
    <row r="260" spans="1:12" x14ac:dyDescent="0.4">
      <c r="A260">
        <v>248</v>
      </c>
      <c r="B260">
        <f t="shared" si="31"/>
        <v>11.569138276553099</v>
      </c>
      <c r="C260">
        <f t="shared" si="32"/>
        <v>36.228287429519973</v>
      </c>
      <c r="D260">
        <f t="shared" si="35"/>
        <v>17.710358080258931</v>
      </c>
      <c r="E260">
        <f t="shared" si="33"/>
        <v>0.30420528058027702</v>
      </c>
      <c r="F260">
        <f t="shared" si="34"/>
        <v>77.845783449892423</v>
      </c>
      <c r="G260">
        <f t="shared" si="27"/>
        <v>30.067712684816748</v>
      </c>
      <c r="H260">
        <f t="shared" si="28"/>
        <v>179.78224421678706</v>
      </c>
      <c r="J260">
        <f t="shared" si="29"/>
        <v>1.1569138276553099</v>
      </c>
      <c r="K260">
        <f t="shared" si="30"/>
        <v>3.6228287429519974</v>
      </c>
      <c r="L260">
        <v>0</v>
      </c>
    </row>
    <row r="261" spans="1:12" x14ac:dyDescent="0.4">
      <c r="A261">
        <v>249</v>
      </c>
      <c r="B261">
        <f t="shared" si="31"/>
        <v>11.5230460921844</v>
      </c>
      <c r="C261">
        <f t="shared" si="32"/>
        <v>36.201603415280417</v>
      </c>
      <c r="D261">
        <f t="shared" si="35"/>
        <v>17.656381648872141</v>
      </c>
      <c r="E261">
        <f t="shared" si="33"/>
        <v>0.3033077271018268</v>
      </c>
      <c r="F261">
        <f t="shared" si="34"/>
        <v>77.717934115508911</v>
      </c>
      <c r="G261">
        <f t="shared" si="27"/>
        <v>30.030776233318385</v>
      </c>
      <c r="H261">
        <f t="shared" si="28"/>
        <v>177.80864112576347</v>
      </c>
      <c r="J261">
        <f t="shared" si="29"/>
        <v>1.1523046092184399</v>
      </c>
      <c r="K261">
        <f t="shared" si="30"/>
        <v>3.6201603415280417</v>
      </c>
      <c r="L261">
        <v>0</v>
      </c>
    </row>
    <row r="262" spans="1:12" x14ac:dyDescent="0.4">
      <c r="A262">
        <v>250</v>
      </c>
      <c r="B262">
        <f t="shared" si="31"/>
        <v>11.4769539078156</v>
      </c>
      <c r="C262">
        <f t="shared" si="32"/>
        <v>36.174959058970138</v>
      </c>
      <c r="D262">
        <f t="shared" si="35"/>
        <v>17.602275019695849</v>
      </c>
      <c r="E262">
        <f t="shared" si="33"/>
        <v>0.3024077384576222</v>
      </c>
      <c r="F262">
        <f t="shared" si="34"/>
        <v>77.589105065122851</v>
      </c>
      <c r="G262">
        <f t="shared" si="27"/>
        <v>29.993415022713499</v>
      </c>
      <c r="H262">
        <f t="shared" si="28"/>
        <v>175.86105488116658</v>
      </c>
      <c r="J262">
        <f t="shared" si="29"/>
        <v>1.1476953907815601</v>
      </c>
      <c r="K262">
        <f t="shared" si="30"/>
        <v>3.6174959058970138</v>
      </c>
      <c r="L262">
        <v>0</v>
      </c>
    </row>
    <row r="263" spans="1:12" x14ac:dyDescent="0.4">
      <c r="A263">
        <v>251</v>
      </c>
      <c r="B263">
        <f t="shared" si="31"/>
        <v>11.430861723446901</v>
      </c>
      <c r="C263">
        <f t="shared" si="32"/>
        <v>36.148354786586445</v>
      </c>
      <c r="D263">
        <f t="shared" si="35"/>
        <v>17.548037851667655</v>
      </c>
      <c r="E263">
        <f t="shared" si="33"/>
        <v>0.3015053078249027</v>
      </c>
      <c r="F263">
        <f t="shared" si="34"/>
        <v>77.459290628169015</v>
      </c>
      <c r="G263">
        <f t="shared" si="27"/>
        <v>29.955626388250678</v>
      </c>
      <c r="H263">
        <f t="shared" si="28"/>
        <v>173.93904417011618</v>
      </c>
      <c r="J263">
        <f t="shared" si="29"/>
        <v>1.1430861723446901</v>
      </c>
      <c r="K263">
        <f t="shared" si="30"/>
        <v>3.6148354786586445</v>
      </c>
      <c r="L263">
        <v>0</v>
      </c>
    </row>
    <row r="264" spans="1:12" x14ac:dyDescent="0.4">
      <c r="A264">
        <v>252</v>
      </c>
      <c r="B264">
        <f t="shared" si="31"/>
        <v>11.384769539078199</v>
      </c>
      <c r="C264">
        <f t="shared" si="32"/>
        <v>36.121791026020666</v>
      </c>
      <c r="D264">
        <f t="shared" si="35"/>
        <v>17.493669805561542</v>
      </c>
      <c r="E264">
        <f t="shared" si="33"/>
        <v>0.30060042841184881</v>
      </c>
      <c r="F264">
        <f t="shared" si="34"/>
        <v>77.328485109807104</v>
      </c>
      <c r="G264">
        <f t="shared" si="27"/>
        <v>29.917407652122783</v>
      </c>
      <c r="H264">
        <f t="shared" si="28"/>
        <v>172.04217666004473</v>
      </c>
      <c r="J264">
        <f t="shared" si="29"/>
        <v>1.1384769539078199</v>
      </c>
      <c r="K264">
        <f t="shared" si="30"/>
        <v>3.6121791026020666</v>
      </c>
      <c r="L264">
        <v>0</v>
      </c>
    </row>
    <row r="265" spans="1:12" x14ac:dyDescent="0.4">
      <c r="A265">
        <v>253</v>
      </c>
      <c r="B265">
        <f t="shared" si="31"/>
        <v>11.3386773547094</v>
      </c>
      <c r="C265">
        <f t="shared" si="32"/>
        <v>36.095268207056215</v>
      </c>
      <c r="D265">
        <f t="shared" si="35"/>
        <v>17.439170544038202</v>
      </c>
      <c r="E265">
        <f t="shared" si="33"/>
        <v>0.29969309345855116</v>
      </c>
      <c r="F265">
        <f t="shared" si="34"/>
        <v>77.196682791056219</v>
      </c>
      <c r="G265">
        <f t="shared" si="27"/>
        <v>29.878756123509007</v>
      </c>
      <c r="H265">
        <f t="shared" si="28"/>
        <v>170.17002878143367</v>
      </c>
      <c r="J265">
        <f t="shared" si="29"/>
        <v>1.1338677354709401</v>
      </c>
      <c r="K265">
        <f t="shared" si="30"/>
        <v>3.6095268207056215</v>
      </c>
      <c r="L265">
        <v>0</v>
      </c>
    </row>
    <row r="266" spans="1:12" x14ac:dyDescent="0.4">
      <c r="A266">
        <v>254</v>
      </c>
      <c r="B266">
        <f t="shared" si="31"/>
        <v>11.292585170340701</v>
      </c>
      <c r="C266">
        <f t="shared" si="32"/>
        <v>36.068786761366454</v>
      </c>
      <c r="D266">
        <f t="shared" si="35"/>
        <v>17.384539731695842</v>
      </c>
      <c r="E266">
        <f t="shared" si="33"/>
        <v>0.29878329623799027</v>
      </c>
      <c r="F266">
        <f t="shared" si="34"/>
        <v>77.063877928934971</v>
      </c>
      <c r="G266">
        <f t="shared" si="27"/>
        <v>29.839669098619567</v>
      </c>
      <c r="H266">
        <f t="shared" si="28"/>
        <v>168.32218551661043</v>
      </c>
      <c r="J266">
        <f t="shared" si="29"/>
        <v>1.1292585170340701</v>
      </c>
      <c r="K266">
        <f t="shared" si="30"/>
        <v>3.6068786761366454</v>
      </c>
      <c r="L266">
        <v>0</v>
      </c>
    </row>
    <row r="267" spans="1:12" x14ac:dyDescent="0.4">
      <c r="A267">
        <v>255</v>
      </c>
      <c r="B267">
        <f t="shared" si="31"/>
        <v>11.2464929859719</v>
      </c>
      <c r="C267">
        <f t="shared" si="32"/>
        <v>36.04234712251241</v>
      </c>
      <c r="D267">
        <f t="shared" si="35"/>
        <v>17.329777035120159</v>
      </c>
      <c r="E267">
        <f t="shared" si="33"/>
        <v>0.29787103005700372</v>
      </c>
      <c r="F267">
        <f t="shared" si="34"/>
        <v>76.930064756604054</v>
      </c>
      <c r="G267">
        <f t="shared" si="27"/>
        <v>29.800143860741947</v>
      </c>
      <c r="H267">
        <f t="shared" si="28"/>
        <v>166.49824019436525</v>
      </c>
      <c r="J267">
        <f t="shared" si="29"/>
        <v>1.1246492985971899</v>
      </c>
      <c r="K267">
        <f t="shared" si="30"/>
        <v>3.604234712251241</v>
      </c>
      <c r="L267">
        <v>0</v>
      </c>
    </row>
    <row r="268" spans="1:12" x14ac:dyDescent="0.4">
      <c r="A268">
        <v>256</v>
      </c>
      <c r="B268">
        <f t="shared" si="31"/>
        <v>11.2004008016032</v>
      </c>
      <c r="C268">
        <f t="shared" si="32"/>
        <v>36.015949725940281</v>
      </c>
      <c r="D268">
        <f t="shared" si="35"/>
        <v>17.274882122936997</v>
      </c>
      <c r="E268">
        <f t="shared" si="33"/>
        <v>0.29695628825730203</v>
      </c>
      <c r="F268">
        <f t="shared" si="34"/>
        <v>76.795237483519543</v>
      </c>
      <c r="G268">
        <f t="shared" ref="G268:G331" si="36">IFERROR((-D268+F268)/2,IF($B$2-1=A268,G267,NA()))</f>
        <v>29.760177680291271</v>
      </c>
      <c r="H268">
        <f t="shared" ref="H268:H331" si="37">IF(A268="",NA(),B268+TAN(RADIANS(F268))*C268)</f>
        <v>164.6977942903174</v>
      </c>
      <c r="J268">
        <f t="shared" ref="J268:J331" si="38">IF(A268="",NA(),B268/10)</f>
        <v>1.1200400801603201</v>
      </c>
      <c r="K268">
        <f t="shared" ref="K268:K331" si="39">IF(A268="",NA(),C268/10)</f>
        <v>3.6015949725940279</v>
      </c>
      <c r="L268">
        <v>0</v>
      </c>
    </row>
    <row r="269" spans="1:12" x14ac:dyDescent="0.4">
      <c r="A269">
        <v>257</v>
      </c>
      <c r="B269">
        <f t="shared" ref="B269:B332" si="40">IFERROR(ROUND(-$B$6*(A269/($B$2-1)-1),20),IF($B$2-1=A269,0,NA()))</f>
        <v>11.1543086172345</v>
      </c>
      <c r="C269">
        <f t="shared" ref="C269:C332" si="41">IFERROR(C268-TAN(RADIANS(G268))*$B$3,IF($B$2-1=A269,C268,NA()))</f>
        <v>35.989595008978782</v>
      </c>
      <c r="D269">
        <f t="shared" si="35"/>
        <v>17.21985466586338</v>
      </c>
      <c r="E269">
        <f t="shared" ref="E269:E332" si="42">IF(A269="",NA(),SIN(RADIANS(D269)))</f>
        <v>0.29603906421645765</v>
      </c>
      <c r="F269">
        <f t="shared" ref="F269:F332" si="43">IF(A269="", NA(), 180-MEDIAN(90, 180, $F$4*D269^2 - ((90+$F$4*$B$4^2)/$B$4)*D269 + 180))</f>
        <v>76.659390295587158</v>
      </c>
      <c r="G269">
        <f t="shared" si="36"/>
        <v>29.719767814861889</v>
      </c>
      <c r="H269">
        <f t="shared" si="37"/>
        <v>162.9204572327198</v>
      </c>
      <c r="J269">
        <f t="shared" si="38"/>
        <v>1.1154308617234501</v>
      </c>
      <c r="K269">
        <f t="shared" si="39"/>
        <v>3.5989595008978781</v>
      </c>
      <c r="L269">
        <v>0</v>
      </c>
    </row>
    <row r="270" spans="1:12" x14ac:dyDescent="0.4">
      <c r="A270">
        <v>258</v>
      </c>
      <c r="B270">
        <f t="shared" si="40"/>
        <v>11.108216432865699</v>
      </c>
      <c r="C270">
        <f t="shared" si="41"/>
        <v>35.963283410836283</v>
      </c>
      <c r="D270">
        <f t="shared" ref="D270:D333" si="44">IF(A270="",NA(),DEGREES(ATAN(B270/C270)))</f>
        <v>17.16469433676054</v>
      </c>
      <c r="E270">
        <f t="shared" si="42"/>
        <v>0.29511935134893169</v>
      </c>
      <c r="F270">
        <f t="shared" si="43"/>
        <v>76.522517355325732</v>
      </c>
      <c r="G270">
        <f t="shared" si="36"/>
        <v>29.678911509282596</v>
      </c>
      <c r="H270">
        <f t="shared" si="37"/>
        <v>161.16584621363546</v>
      </c>
      <c r="J270">
        <f t="shared" si="38"/>
        <v>1.1108216432865698</v>
      </c>
      <c r="K270">
        <f t="shared" si="39"/>
        <v>3.5963283410836282</v>
      </c>
      <c r="L270">
        <v>0</v>
      </c>
    </row>
    <row r="271" spans="1:12" x14ac:dyDescent="0.4">
      <c r="A271">
        <v>259</v>
      </c>
      <c r="B271">
        <f t="shared" si="40"/>
        <v>11.062124248497</v>
      </c>
      <c r="C271">
        <f t="shared" si="41"/>
        <v>35.937015372597799</v>
      </c>
      <c r="D271">
        <f t="shared" si="44"/>
        <v>17.109400810687486</v>
      </c>
      <c r="E271">
        <f t="shared" si="42"/>
        <v>0.29419714310711009</v>
      </c>
      <c r="F271">
        <f t="shared" si="43"/>
        <v>76.384612802037125</v>
      </c>
      <c r="G271">
        <f t="shared" si="36"/>
        <v>29.637605995674818</v>
      </c>
      <c r="H271">
        <f t="shared" si="37"/>
        <v>159.43358600528381</v>
      </c>
      <c r="J271">
        <f t="shared" si="38"/>
        <v>1.1062124248497001</v>
      </c>
      <c r="K271">
        <f t="shared" si="39"/>
        <v>3.59370153725978</v>
      </c>
      <c r="L271">
        <v>0</v>
      </c>
    </row>
    <row r="272" spans="1:12" x14ac:dyDescent="0.4">
      <c r="A272">
        <v>260</v>
      </c>
      <c r="B272">
        <f t="shared" si="40"/>
        <v>11.0160320641283</v>
      </c>
      <c r="C272">
        <f t="shared" si="41"/>
        <v>35.910791337221752</v>
      </c>
      <c r="D272">
        <f t="shared" si="44"/>
        <v>17.053973764953824</v>
      </c>
      <c r="E272">
        <f t="shared" si="42"/>
        <v>0.2932724329823313</v>
      </c>
      <c r="F272">
        <f t="shared" si="43"/>
        <v>76.245670751978679</v>
      </c>
      <c r="G272">
        <f t="shared" si="36"/>
        <v>29.595848493512428</v>
      </c>
      <c r="H272">
        <f t="shared" si="37"/>
        <v>157.72330878134676</v>
      </c>
      <c r="J272">
        <f t="shared" si="38"/>
        <v>1.10160320641283</v>
      </c>
      <c r="K272">
        <f t="shared" si="39"/>
        <v>3.5910791337221752</v>
      </c>
      <c r="L272">
        <v>0</v>
      </c>
    </row>
    <row r="273" spans="1:12" x14ac:dyDescent="0.4">
      <c r="A273">
        <v>261</v>
      </c>
      <c r="B273">
        <f t="shared" si="40"/>
        <v>10.969939879759499</v>
      </c>
      <c r="C273">
        <f t="shared" si="41"/>
        <v>35.88461174953656</v>
      </c>
      <c r="D273">
        <f t="shared" si="44"/>
        <v>16.99841287917442</v>
      </c>
      <c r="E273">
        <f t="shared" si="42"/>
        <v>0.29234521450594569</v>
      </c>
      <c r="F273">
        <f t="shared" si="43"/>
        <v>76.105685298545438</v>
      </c>
      <c r="G273">
        <f t="shared" si="36"/>
        <v>29.553636209685507</v>
      </c>
      <c r="H273">
        <f t="shared" si="37"/>
        <v>156.03465394316837</v>
      </c>
      <c r="J273">
        <f t="shared" si="38"/>
        <v>1.0969939879759498</v>
      </c>
      <c r="K273">
        <f t="shared" si="39"/>
        <v>3.5884611749536561</v>
      </c>
      <c r="L273">
        <v>0</v>
      </c>
    </row>
    <row r="274" spans="1:12" x14ac:dyDescent="0.4">
      <c r="A274">
        <v>262</v>
      </c>
      <c r="B274">
        <f t="shared" si="40"/>
        <v>10.923847695390799</v>
      </c>
      <c r="C274">
        <f t="shared" si="41"/>
        <v>35.858477056237057</v>
      </c>
      <c r="D274">
        <f t="shared" si="44"/>
        <v>16.942717835324594</v>
      </c>
      <c r="E274">
        <f t="shared" si="42"/>
        <v>0.2914154812503873</v>
      </c>
      <c r="F274">
        <f t="shared" si="43"/>
        <v>75.964650512458689</v>
      </c>
      <c r="G274">
        <f t="shared" si="36"/>
        <v>29.510966338567048</v>
      </c>
      <c r="H274">
        <f t="shared" si="37"/>
        <v>154.36726795065198</v>
      </c>
      <c r="J274">
        <f t="shared" si="38"/>
        <v>1.09238476953908</v>
      </c>
      <c r="K274">
        <f t="shared" si="39"/>
        <v>3.5858477056237055</v>
      </c>
      <c r="L274">
        <v>0</v>
      </c>
    </row>
    <row r="275" spans="1:12" x14ac:dyDescent="0.4">
      <c r="A275">
        <v>263</v>
      </c>
      <c r="B275">
        <f t="shared" si="40"/>
        <v>10.877755511022</v>
      </c>
      <c r="C275">
        <f t="shared" si="41"/>
        <v>35.832387705880677</v>
      </c>
      <c r="D275">
        <f t="shared" si="44"/>
        <v>16.88688831779443</v>
      </c>
      <c r="E275">
        <f t="shared" si="42"/>
        <v>0.29048322683023242</v>
      </c>
      <c r="F275">
        <f t="shared" si="43"/>
        <v>75.82256044195708</v>
      </c>
      <c r="G275">
        <f t="shared" si="36"/>
        <v>29.467836062081325</v>
      </c>
      <c r="H275">
        <f t="shared" si="37"/>
        <v>152.72080415767056</v>
      </c>
      <c r="J275">
        <f t="shared" si="38"/>
        <v>1.0877755511022</v>
      </c>
      <c r="K275">
        <f t="shared" si="39"/>
        <v>3.5832387705880677</v>
      </c>
      <c r="L275">
        <v>0</v>
      </c>
    </row>
    <row r="276" spans="1:12" x14ac:dyDescent="0.4">
      <c r="A276">
        <v>264</v>
      </c>
      <c r="B276">
        <f t="shared" si="40"/>
        <v>10.831663326653301</v>
      </c>
      <c r="C276">
        <f t="shared" si="41"/>
        <v>35.806344148883511</v>
      </c>
      <c r="D276">
        <f t="shared" si="44"/>
        <v>16.830924013445784</v>
      </c>
      <c r="E276">
        <f t="shared" si="42"/>
        <v>0.289548444903306</v>
      </c>
      <c r="F276">
        <f t="shared" si="43"/>
        <v>75.67940911300002</v>
      </c>
      <c r="G276">
        <f t="shared" si="36"/>
        <v>29.424242549777119</v>
      </c>
      <c r="H276">
        <f t="shared" si="37"/>
        <v>151.09492265195877</v>
      </c>
      <c r="J276">
        <f t="shared" si="38"/>
        <v>1.08316633266533</v>
      </c>
      <c r="K276">
        <f t="shared" si="39"/>
        <v>3.5806344148883511</v>
      </c>
      <c r="L276">
        <v>0</v>
      </c>
    </row>
    <row r="277" spans="1:12" x14ac:dyDescent="0.4">
      <c r="A277">
        <v>265</v>
      </c>
      <c r="B277">
        <f t="shared" si="40"/>
        <v>10.785571142284599</v>
      </c>
      <c r="C277">
        <f t="shared" si="41"/>
        <v>35.780346837516092</v>
      </c>
      <c r="D277">
        <f t="shared" si="44"/>
        <v>16.774824611667668</v>
      </c>
      <c r="E277">
        <f t="shared" si="42"/>
        <v>0.2886111291717634</v>
      </c>
      <c r="F277">
        <f t="shared" si="43"/>
        <v>75.535190529471976</v>
      </c>
      <c r="G277">
        <f t="shared" si="36"/>
        <v>29.380182958902154</v>
      </c>
      <c r="H277">
        <f t="shared" si="37"/>
        <v>149.48929009922242</v>
      </c>
      <c r="J277">
        <f t="shared" si="38"/>
        <v>1.07855711422846</v>
      </c>
      <c r="K277">
        <f t="shared" si="39"/>
        <v>3.5780346837516093</v>
      </c>
      <c r="L277">
        <v>0</v>
      </c>
    </row>
    <row r="278" spans="1:12" x14ac:dyDescent="0.4">
      <c r="A278">
        <v>266</v>
      </c>
      <c r="B278">
        <f t="shared" si="40"/>
        <v>10.7394789579158</v>
      </c>
      <c r="C278">
        <f t="shared" si="41"/>
        <v>35.754396225899043</v>
      </c>
      <c r="D278">
        <f t="shared" si="44"/>
        <v>16.718589804433631</v>
      </c>
      <c r="E278">
        <f t="shared" si="42"/>
        <v>0.28767127338320764</v>
      </c>
      <c r="F278">
        <f t="shared" si="43"/>
        <v>75.389898673397198</v>
      </c>
      <c r="G278">
        <f t="shared" si="36"/>
        <v>29.335654434481782</v>
      </c>
      <c r="H278">
        <f t="shared" si="37"/>
        <v>147.90357959144274</v>
      </c>
      <c r="J278">
        <f t="shared" si="38"/>
        <v>1.07394789579158</v>
      </c>
      <c r="K278">
        <f t="shared" si="39"/>
        <v>3.5754396225899043</v>
      </c>
      <c r="L278">
        <v>0</v>
      </c>
    </row>
    <row r="279" spans="1:12" x14ac:dyDescent="0.4">
      <c r="A279">
        <v>267</v>
      </c>
      <c r="B279">
        <f t="shared" si="40"/>
        <v>10.6933867735471</v>
      </c>
      <c r="C279">
        <f t="shared" si="41"/>
        <v>35.728492769998518</v>
      </c>
      <c r="D279">
        <f t="shared" si="44"/>
        <v>16.662219286359658</v>
      </c>
      <c r="E279">
        <f t="shared" si="42"/>
        <v>0.28672887133181796</v>
      </c>
      <c r="F279">
        <f t="shared" si="43"/>
        <v>75.243527505161296</v>
      </c>
      <c r="G279">
        <f t="shared" si="36"/>
        <v>29.290654109400819</v>
      </c>
      <c r="H279">
        <f t="shared" si="37"/>
        <v>146.33747049920441</v>
      </c>
      <c r="J279">
        <f t="shared" si="38"/>
        <v>1.06933867735471</v>
      </c>
      <c r="K279">
        <f t="shared" si="39"/>
        <v>3.5728492769998517</v>
      </c>
      <c r="L279">
        <v>0</v>
      </c>
    </row>
    <row r="280" spans="1:12" x14ac:dyDescent="0.4">
      <c r="A280">
        <v>268</v>
      </c>
      <c r="B280">
        <f t="shared" si="40"/>
        <v>10.647294589178401</v>
      </c>
      <c r="C280">
        <f t="shared" si="41"/>
        <v>35.70263692762142</v>
      </c>
      <c r="D280">
        <f t="shared" si="44"/>
        <v>16.605712754761306</v>
      </c>
      <c r="E280">
        <f t="shared" si="42"/>
        <v>0.2857839168594678</v>
      </c>
      <c r="F280">
        <f t="shared" si="43"/>
        <v>75.096070963736196</v>
      </c>
      <c r="G280">
        <f t="shared" si="36"/>
        <v>29.245179104487445</v>
      </c>
      <c r="H280">
        <f t="shared" si="37"/>
        <v>144.79064832789453</v>
      </c>
      <c r="J280">
        <f t="shared" si="38"/>
        <v>1.06472945891784</v>
      </c>
      <c r="K280">
        <f t="shared" si="39"/>
        <v>3.5702636927621421</v>
      </c>
      <c r="L280">
        <v>0</v>
      </c>
    </row>
    <row r="281" spans="1:12" x14ac:dyDescent="0.4">
      <c r="A281">
        <v>269</v>
      </c>
      <c r="B281">
        <f t="shared" si="40"/>
        <v>10.6012024048096</v>
      </c>
      <c r="C281">
        <f t="shared" si="41"/>
        <v>35.676829158410456</v>
      </c>
      <c r="D281">
        <f t="shared" si="44"/>
        <v>16.549069909712703</v>
      </c>
      <c r="E281">
        <f t="shared" si="42"/>
        <v>0.28483640385687686</v>
      </c>
      <c r="F281">
        <f t="shared" si="43"/>
        <v>74.947522966915514</v>
      </c>
      <c r="G281">
        <f t="shared" si="36"/>
        <v>29.199226528601407</v>
      </c>
      <c r="H281">
        <f t="shared" si="37"/>
        <v>143.26280457772407</v>
      </c>
      <c r="J281">
        <f t="shared" si="38"/>
        <v>1.06012024048096</v>
      </c>
      <c r="K281">
        <f t="shared" si="39"/>
        <v>3.5676829158410457</v>
      </c>
      <c r="L281">
        <v>0</v>
      </c>
    </row>
    <row r="282" spans="1:12" x14ac:dyDescent="0.4">
      <c r="A282">
        <v>270</v>
      </c>
      <c r="B282">
        <f t="shared" si="40"/>
        <v>10.5551102204409</v>
      </c>
      <c r="C282">
        <f t="shared" si="41"/>
        <v>35.651069923838953</v>
      </c>
      <c r="D282">
        <f t="shared" si="44"/>
        <v>16.492290454106072</v>
      </c>
      <c r="E282">
        <f t="shared" si="42"/>
        <v>0.28388632626477373</v>
      </c>
      <c r="F282">
        <f t="shared" si="43"/>
        <v>74.797877411557096</v>
      </c>
      <c r="G282">
        <f t="shared" si="36"/>
        <v>29.152793478725513</v>
      </c>
      <c r="H282">
        <f t="shared" si="37"/>
        <v>141.7536366074236</v>
      </c>
      <c r="J282">
        <f t="shared" si="38"/>
        <v>1.05551102204409</v>
      </c>
      <c r="K282">
        <f t="shared" si="39"/>
        <v>3.5651069923838952</v>
      </c>
      <c r="L282">
        <v>0</v>
      </c>
    </row>
    <row r="283" spans="1:12" x14ac:dyDescent="0.4">
      <c r="A283">
        <v>271</v>
      </c>
      <c r="B283">
        <f t="shared" si="40"/>
        <v>10.509018036072099</v>
      </c>
      <c r="C283">
        <f t="shared" si="41"/>
        <v>35.625359687205517</v>
      </c>
      <c r="D283">
        <f t="shared" si="44"/>
        <v>16.435374093710287</v>
      </c>
      <c r="E283">
        <f t="shared" si="42"/>
        <v>0.28293367807504533</v>
      </c>
      <c r="F283">
        <f t="shared" si="43"/>
        <v>74.647128173828506</v>
      </c>
      <c r="G283">
        <f t="shared" si="36"/>
        <v>29.105877040059109</v>
      </c>
      <c r="H283">
        <f t="shared" si="37"/>
        <v>140.2628475014634</v>
      </c>
      <c r="J283">
        <f t="shared" si="38"/>
        <v>1.05090180360721</v>
      </c>
      <c r="K283">
        <f t="shared" si="39"/>
        <v>3.5625359687205518</v>
      </c>
      <c r="L283">
        <v>0</v>
      </c>
    </row>
    <row r="284" spans="1:12" x14ac:dyDescent="0.4">
      <c r="A284">
        <v>272</v>
      </c>
      <c r="B284">
        <f t="shared" si="40"/>
        <v>10.4629258517034</v>
      </c>
      <c r="C284">
        <f t="shared" si="41"/>
        <v>35.599698913628458</v>
      </c>
      <c r="D284">
        <f t="shared" si="44"/>
        <v>16.378320537232241</v>
      </c>
      <c r="E284">
        <f t="shared" si="42"/>
        <v>0.28197845333193555</v>
      </c>
      <c r="F284">
        <f t="shared" si="43"/>
        <v>74.495269109466051</v>
      </c>
      <c r="G284">
        <f t="shared" si="36"/>
        <v>29.058474286116905</v>
      </c>
      <c r="H284">
        <f t="shared" si="37"/>
        <v>138.79014594079314</v>
      </c>
      <c r="J284">
        <f t="shared" si="38"/>
        <v>1.04629258517034</v>
      </c>
      <c r="K284">
        <f t="shared" si="39"/>
        <v>3.5599698913628459</v>
      </c>
      <c r="L284">
        <v>0</v>
      </c>
    </row>
    <row r="285" spans="1:12" x14ac:dyDescent="0.4">
      <c r="A285">
        <v>273</v>
      </c>
      <c r="B285">
        <f t="shared" si="40"/>
        <v>10.4168336673347</v>
      </c>
      <c r="C285">
        <f t="shared" si="41"/>
        <v>35.57408807004002</v>
      </c>
      <c r="D285">
        <f t="shared" si="44"/>
        <v>16.321129496376432</v>
      </c>
      <c r="E285">
        <f t="shared" si="42"/>
        <v>0.28102064613321664</v>
      </c>
      <c r="F285">
        <f t="shared" si="43"/>
        <v>74.342294054034724</v>
      </c>
      <c r="G285">
        <f t="shared" si="36"/>
        <v>29.010582278829148</v>
      </c>
      <c r="H285">
        <f t="shared" si="37"/>
        <v>137.33524607687656</v>
      </c>
      <c r="J285">
        <f t="shared" si="38"/>
        <v>1.04168336673347</v>
      </c>
      <c r="K285">
        <f t="shared" si="39"/>
        <v>3.557408807004002</v>
      </c>
      <c r="L285">
        <v>0</v>
      </c>
    </row>
    <row r="286" spans="1:12" x14ac:dyDescent="0.4">
      <c r="A286">
        <v>274</v>
      </c>
      <c r="B286">
        <f t="shared" si="40"/>
        <v>10.370741482965901</v>
      </c>
      <c r="C286">
        <f t="shared" si="41"/>
        <v>35.548527625180405</v>
      </c>
      <c r="D286">
        <f t="shared" si="44"/>
        <v>16.263800685906649</v>
      </c>
      <c r="E286">
        <f t="shared" si="42"/>
        <v>0.28006025063139811</v>
      </c>
      <c r="F286">
        <f t="shared" si="43"/>
        <v>74.188196823199917</v>
      </c>
      <c r="G286">
        <f t="shared" si="36"/>
        <v>28.962198068646636</v>
      </c>
      <c r="H286">
        <f t="shared" si="37"/>
        <v>135.89786740902511</v>
      </c>
      <c r="J286">
        <f t="shared" si="38"/>
        <v>1.0370741482965902</v>
      </c>
      <c r="K286">
        <f t="shared" si="39"/>
        <v>3.5548527625180406</v>
      </c>
      <c r="L286">
        <v>0</v>
      </c>
    </row>
    <row r="287" spans="1:12" x14ac:dyDescent="0.4">
      <c r="A287">
        <v>275</v>
      </c>
      <c r="B287">
        <f t="shared" si="40"/>
        <v>10.324649298597199</v>
      </c>
      <c r="C287">
        <f t="shared" si="41"/>
        <v>35.523018049591613</v>
      </c>
      <c r="D287">
        <f t="shared" si="44"/>
        <v>16.206333823708096</v>
      </c>
      <c r="E287">
        <f t="shared" si="42"/>
        <v>0.27909726103494564</v>
      </c>
      <c r="F287">
        <f t="shared" si="43"/>
        <v>74.032971213006306</v>
      </c>
      <c r="G287">
        <f t="shared" si="36"/>
        <v>28.913318694649107</v>
      </c>
      <c r="H287">
        <f t="shared" si="37"/>
        <v>134.47773466488897</v>
      </c>
      <c r="J287">
        <f t="shared" si="38"/>
        <v>1.0324649298597199</v>
      </c>
      <c r="K287">
        <f t="shared" si="39"/>
        <v>3.5523018049591615</v>
      </c>
      <c r="L287">
        <v>0</v>
      </c>
    </row>
    <row r="288" spans="1:12" x14ac:dyDescent="0.4">
      <c r="A288">
        <v>276</v>
      </c>
      <c r="B288">
        <f t="shared" si="40"/>
        <v>10.2785571142285</v>
      </c>
      <c r="C288">
        <f t="shared" si="41"/>
        <v>35.497559815611048</v>
      </c>
      <c r="D288">
        <f t="shared" si="44"/>
        <v>16.148728630848758</v>
      </c>
      <c r="E288">
        <f t="shared" si="42"/>
        <v>0.27813167160948971</v>
      </c>
      <c r="F288">
        <f t="shared" si="43"/>
        <v>73.876611000161034</v>
      </c>
      <c r="G288">
        <f t="shared" si="36"/>
        <v>28.863941184656138</v>
      </c>
      <c r="H288">
        <f t="shared" si="37"/>
        <v>133.07457768398848</v>
      </c>
      <c r="J288">
        <f t="shared" si="38"/>
        <v>1.0278557114228499</v>
      </c>
      <c r="K288">
        <f t="shared" si="39"/>
        <v>3.5497559815611046</v>
      </c>
      <c r="L288">
        <v>0</v>
      </c>
    </row>
    <row r="289" spans="1:12" x14ac:dyDescent="0.4">
      <c r="A289">
        <v>277</v>
      </c>
      <c r="B289">
        <f t="shared" si="40"/>
        <v>10.232464929859701</v>
      </c>
      <c r="C289">
        <f t="shared" si="41"/>
        <v>35.472153397364941</v>
      </c>
      <c r="D289">
        <f t="shared" si="44"/>
        <v>16.090984831642594</v>
      </c>
      <c r="E289">
        <f t="shared" si="42"/>
        <v>0.27716347667906693</v>
      </c>
      <c r="F289">
        <f t="shared" si="43"/>
        <v>73.71910994232779</v>
      </c>
      <c r="G289">
        <f t="shared" si="36"/>
        <v>28.814062555342598</v>
      </c>
      <c r="H289">
        <f t="shared" si="37"/>
        <v>131.68813130425306</v>
      </c>
      <c r="J289">
        <f t="shared" si="38"/>
        <v>1.0232464929859701</v>
      </c>
      <c r="K289">
        <f t="shared" si="39"/>
        <v>3.5472153397364941</v>
      </c>
      <c r="L289">
        <v>0</v>
      </c>
    </row>
    <row r="290" spans="1:12" x14ac:dyDescent="0.4">
      <c r="A290">
        <v>278</v>
      </c>
      <c r="B290">
        <f t="shared" si="40"/>
        <v>10.186372745490999</v>
      </c>
      <c r="C290">
        <f t="shared" si="41"/>
        <v>35.446799270761538</v>
      </c>
      <c r="D290">
        <f t="shared" si="44"/>
        <v>16.033102153713248</v>
      </c>
      <c r="E290">
        <f t="shared" si="42"/>
        <v>0.27619267062737329</v>
      </c>
      <c r="F290">
        <f t="shared" si="43"/>
        <v>73.560461778429044</v>
      </c>
      <c r="G290">
        <f t="shared" si="36"/>
        <v>28.7636798123579</v>
      </c>
      <c r="H290">
        <f t="shared" si="37"/>
        <v>130.31813525145532</v>
      </c>
      <c r="J290">
        <f t="shared" si="38"/>
        <v>1.0186372745490999</v>
      </c>
      <c r="K290">
        <f t="shared" si="39"/>
        <v>3.544679927076154</v>
      </c>
      <c r="L290">
        <v>0</v>
      </c>
    </row>
    <row r="291" spans="1:12" x14ac:dyDescent="0.4">
      <c r="A291">
        <v>279</v>
      </c>
      <c r="B291">
        <f t="shared" si="40"/>
        <v>10.1402805611222</v>
      </c>
      <c r="C291">
        <f t="shared" si="41"/>
        <v>35.421497913484124</v>
      </c>
      <c r="D291">
        <f t="shared" si="44"/>
        <v>15.975080328056761</v>
      </c>
      <c r="E291">
        <f t="shared" si="42"/>
        <v>0.27521924789900248</v>
      </c>
      <c r="F291">
        <f t="shared" si="43"/>
        <v>73.400660228951693</v>
      </c>
      <c r="G291">
        <f t="shared" si="36"/>
        <v>28.712789950447466</v>
      </c>
      <c r="H291">
        <f t="shared" si="37"/>
        <v>128.96433403141782</v>
      </c>
      <c r="J291">
        <f t="shared" si="38"/>
        <v>1.0140280561122199</v>
      </c>
      <c r="K291">
        <f t="shared" si="39"/>
        <v>3.5421497913484123</v>
      </c>
      <c r="L291">
        <v>0</v>
      </c>
    </row>
    <row r="292" spans="1:12" x14ac:dyDescent="0.4">
      <c r="A292">
        <v>280</v>
      </c>
      <c r="B292">
        <f t="shared" si="40"/>
        <v>10.0941883767535</v>
      </c>
      <c r="C292">
        <f t="shared" si="41"/>
        <v>35.396249804983789</v>
      </c>
      <c r="D292">
        <f t="shared" si="44"/>
        <v>15.916919089107079</v>
      </c>
      <c r="E292">
        <f t="shared" si="42"/>
        <v>0.27424320300073374</v>
      </c>
      <c r="F292">
        <f t="shared" si="43"/>
        <v>73.239698996267038</v>
      </c>
      <c r="G292">
        <f t="shared" si="36"/>
        <v>28.661389953579977</v>
      </c>
      <c r="H292">
        <f t="shared" si="37"/>
        <v>127.62647682499926</v>
      </c>
      <c r="J292">
        <f t="shared" si="38"/>
        <v>1.0094188376753501</v>
      </c>
      <c r="K292">
        <f t="shared" si="39"/>
        <v>3.5396249804983788</v>
      </c>
      <c r="L292">
        <v>0</v>
      </c>
    </row>
    <row r="293" spans="1:12" x14ac:dyDescent="0.4">
      <c r="A293">
        <v>281</v>
      </c>
      <c r="B293">
        <f t="shared" si="40"/>
        <v>10.048096192384801</v>
      </c>
      <c r="C293">
        <f t="shared" si="41"/>
        <v>35.371055426472026</v>
      </c>
      <c r="D293">
        <f t="shared" si="44"/>
        <v>15.85861817479976</v>
      </c>
      <c r="E293">
        <f t="shared" si="42"/>
        <v>0.2732645305027922</v>
      </c>
      <c r="F293">
        <f t="shared" si="43"/>
        <v>73.077571764952495</v>
      </c>
      <c r="G293">
        <f t="shared" si="36"/>
        <v>28.609476795076368</v>
      </c>
      <c r="H293">
        <f t="shared" si="37"/>
        <v>126.30431738567965</v>
      </c>
      <c r="J293">
        <f t="shared" si="38"/>
        <v>1.0048096192384801</v>
      </c>
      <c r="K293">
        <f t="shared" si="39"/>
        <v>3.5371055426472027</v>
      </c>
      <c r="L293">
        <v>0</v>
      </c>
    </row>
    <row r="294" spans="1:12" x14ac:dyDescent="0.4">
      <c r="A294">
        <v>282</v>
      </c>
      <c r="B294">
        <f t="shared" si="40"/>
        <v>10.002004008016</v>
      </c>
      <c r="C294">
        <f t="shared" si="41"/>
        <v>35.345915260913095</v>
      </c>
      <c r="D294">
        <f t="shared" si="44"/>
        <v>15.800177326637701</v>
      </c>
      <c r="E294">
        <f t="shared" si="42"/>
        <v>0.2722832250401454</v>
      </c>
      <c r="F294">
        <f t="shared" si="43"/>
        <v>72.914272202125474</v>
      </c>
      <c r="G294">
        <f t="shared" si="36"/>
        <v>28.557047437743886</v>
      </c>
      <c r="H294">
        <f t="shared" si="37"/>
        <v>124.99761393975069</v>
      </c>
      <c r="J294">
        <f t="shared" si="38"/>
        <v>1.0002004008015999</v>
      </c>
      <c r="K294">
        <f t="shared" si="39"/>
        <v>3.5345915260913094</v>
      </c>
      <c r="L294">
        <v>0</v>
      </c>
    </row>
    <row r="295" spans="1:12" x14ac:dyDescent="0.4">
      <c r="A295">
        <v>283</v>
      </c>
      <c r="B295">
        <f t="shared" si="40"/>
        <v>9.9559118236472894</v>
      </c>
      <c r="C295">
        <f t="shared" si="41"/>
        <v>35.320829793016195</v>
      </c>
      <c r="D295">
        <f t="shared" si="44"/>
        <v>15.741596289757346</v>
      </c>
      <c r="E295">
        <f t="shared" si="42"/>
        <v>0.27129928131381015</v>
      </c>
      <c r="F295">
        <f t="shared" si="43"/>
        <v>72.749793957785485</v>
      </c>
      <c r="G295">
        <f t="shared" si="36"/>
        <v>28.504098834014069</v>
      </c>
      <c r="H295">
        <f t="shared" si="37"/>
        <v>123.7061290890051</v>
      </c>
      <c r="J295">
        <f t="shared" si="38"/>
        <v>0.99559118236472899</v>
      </c>
      <c r="K295">
        <f t="shared" si="39"/>
        <v>3.5320829793016193</v>
      </c>
      <c r="L295">
        <v>0</v>
      </c>
    </row>
    <row r="296" spans="1:12" x14ac:dyDescent="0.4">
      <c r="A296">
        <v>284</v>
      </c>
      <c r="B296">
        <f t="shared" si="40"/>
        <v>9.9098196392785596</v>
      </c>
      <c r="C296">
        <f t="shared" si="41"/>
        <v>35.295799509227415</v>
      </c>
      <c r="D296">
        <f t="shared" si="44"/>
        <v>15.682874812994067</v>
      </c>
      <c r="E296">
        <f t="shared" si="42"/>
        <v>0.27031269409214881</v>
      </c>
      <c r="F296">
        <f t="shared" si="43"/>
        <v>72.584130665160927</v>
      </c>
      <c r="G296">
        <f t="shared" si="36"/>
        <v>28.450627926083431</v>
      </c>
      <c r="H296">
        <f t="shared" si="37"/>
        <v>122.42962971582801</v>
      </c>
      <c r="J296">
        <f t="shared" si="38"/>
        <v>0.99098196392785598</v>
      </c>
      <c r="K296">
        <f t="shared" si="39"/>
        <v>3.5295799509227415</v>
      </c>
      <c r="L296">
        <v>0</v>
      </c>
    </row>
    <row r="297" spans="1:12" x14ac:dyDescent="0.4">
      <c r="A297">
        <v>285</v>
      </c>
      <c r="B297">
        <f t="shared" si="40"/>
        <v>9.8637274549098208</v>
      </c>
      <c r="C297">
        <f t="shared" si="41"/>
        <v>35.270824897721468</v>
      </c>
      <c r="D297">
        <f t="shared" si="44"/>
        <v>15.624012648949522</v>
      </c>
      <c r="E297">
        <f t="shared" si="42"/>
        <v>0.26932345821219988</v>
      </c>
      <c r="F297">
        <f t="shared" si="43"/>
        <v>72.417275941068212</v>
      </c>
      <c r="G297">
        <f t="shared" si="36"/>
        <v>28.396631646059344</v>
      </c>
      <c r="H297">
        <f t="shared" si="37"/>
        <v>121.16788689067667</v>
      </c>
      <c r="J297">
        <f t="shared" si="38"/>
        <v>0.98637274549098208</v>
      </c>
      <c r="K297">
        <f t="shared" si="39"/>
        <v>3.5270824897721469</v>
      </c>
      <c r="L297">
        <v>0</v>
      </c>
    </row>
    <row r="298" spans="1:12" x14ac:dyDescent="0.4">
      <c r="A298">
        <v>286</v>
      </c>
      <c r="B298">
        <f t="shared" si="40"/>
        <v>9.8176352705410803</v>
      </c>
      <c r="C298">
        <f t="shared" si="41"/>
        <v>35.245906448393242</v>
      </c>
      <c r="D298">
        <f t="shared" si="44"/>
        <v>15.565009554058696</v>
      </c>
      <c r="E298">
        <f t="shared" si="42"/>
        <v>0.26833156858100715</v>
      </c>
      <c r="F298">
        <f t="shared" si="43"/>
        <v>72.249223386277251</v>
      </c>
      <c r="G298">
        <f t="shared" si="36"/>
        <v>28.342106916109277</v>
      </c>
      <c r="H298">
        <f t="shared" si="37"/>
        <v>119.92067578183735</v>
      </c>
      <c r="J298">
        <f t="shared" si="38"/>
        <v>0.98176352705410808</v>
      </c>
      <c r="K298">
        <f t="shared" si="39"/>
        <v>3.524590644839324</v>
      </c>
      <c r="L298">
        <v>0</v>
      </c>
    </row>
    <row r="299" spans="1:12" x14ac:dyDescent="0.4">
      <c r="A299">
        <v>287</v>
      </c>
      <c r="B299">
        <f t="shared" si="40"/>
        <v>9.7715430861723398</v>
      </c>
      <c r="C299">
        <f t="shared" si="41"/>
        <v>35.221044652849109</v>
      </c>
      <c r="D299">
        <f t="shared" si="44"/>
        <v>15.505865288657589</v>
      </c>
      <c r="E299">
        <f t="shared" si="42"/>
        <v>0.26733702017696109</v>
      </c>
      <c r="F299">
        <f t="shared" si="43"/>
        <v>72.079966585885956</v>
      </c>
      <c r="G299">
        <f t="shared" si="36"/>
        <v>28.287050648614184</v>
      </c>
      <c r="H299">
        <f t="shared" si="37"/>
        <v>118.68777556741439</v>
      </c>
      <c r="J299">
        <f t="shared" si="38"/>
        <v>0.97715430861723396</v>
      </c>
      <c r="K299">
        <f t="shared" si="39"/>
        <v>3.5221044652849107</v>
      </c>
      <c r="L299">
        <v>0</v>
      </c>
    </row>
    <row r="300" spans="1:12" x14ac:dyDescent="0.4">
      <c r="A300">
        <v>288</v>
      </c>
      <c r="B300">
        <f t="shared" si="40"/>
        <v>9.7254509018036099</v>
      </c>
      <c r="C300">
        <f t="shared" si="41"/>
        <v>35.196240004398049</v>
      </c>
      <c r="D300">
        <f t="shared" si="44"/>
        <v>15.446579617051389</v>
      </c>
      <c r="E300">
        <f t="shared" si="42"/>
        <v>0.26633980805115159</v>
      </c>
      <c r="F300">
        <f t="shared" si="43"/>
        <v>71.909499109703233</v>
      </c>
      <c r="G300">
        <f t="shared" si="36"/>
        <v>28.231459746325921</v>
      </c>
      <c r="H300">
        <f t="shared" si="37"/>
        <v>117.46896934948246</v>
      </c>
      <c r="J300">
        <f t="shared" si="38"/>
        <v>0.97254509018036095</v>
      </c>
      <c r="K300">
        <f t="shared" si="39"/>
        <v>3.5196240004398049</v>
      </c>
      <c r="L300">
        <v>0</v>
      </c>
    </row>
    <row r="301" spans="1:12" x14ac:dyDescent="0.4">
      <c r="A301">
        <v>289</v>
      </c>
      <c r="B301">
        <f t="shared" si="40"/>
        <v>9.6793587174348694</v>
      </c>
      <c r="C301">
        <f t="shared" si="41"/>
        <v>35.171492998042545</v>
      </c>
      <c r="D301">
        <f t="shared" si="44"/>
        <v>15.387152307583055</v>
      </c>
      <c r="E301">
        <f t="shared" si="42"/>
        <v>0.26533992732872952</v>
      </c>
      <c r="F301">
        <f t="shared" si="43"/>
        <v>71.737814512640725</v>
      </c>
      <c r="G301">
        <f t="shared" si="36"/>
        <v>28.175331102528837</v>
      </c>
      <c r="H301">
        <f t="shared" si="37"/>
        <v>116.2640440703448</v>
      </c>
      <c r="J301">
        <f t="shared" si="38"/>
        <v>0.96793587174348694</v>
      </c>
      <c r="K301">
        <f t="shared" si="39"/>
        <v>3.5171492998042546</v>
      </c>
      <c r="L301">
        <v>0</v>
      </c>
    </row>
    <row r="302" spans="1:12" x14ac:dyDescent="0.4">
      <c r="A302">
        <v>290</v>
      </c>
      <c r="B302">
        <f t="shared" si="40"/>
        <v>9.6332665330661307</v>
      </c>
      <c r="C302">
        <f t="shared" si="41"/>
        <v>35.14680413046927</v>
      </c>
      <c r="D302">
        <f t="shared" si="44"/>
        <v>15.327583132702472</v>
      </c>
      <c r="E302">
        <f t="shared" si="42"/>
        <v>0.26433737321028067</v>
      </c>
      <c r="F302">
        <f t="shared" si="43"/>
        <v>71.564906335113506</v>
      </c>
      <c r="G302">
        <f t="shared" si="36"/>
        <v>28.118661601205517</v>
      </c>
      <c r="H302">
        <f t="shared" si="37"/>
        <v>115.07279043083767</v>
      </c>
      <c r="J302">
        <f t="shared" si="38"/>
        <v>0.96332665330661305</v>
      </c>
      <c r="K302">
        <f t="shared" si="39"/>
        <v>3.5146804130469271</v>
      </c>
      <c r="L302">
        <v>0</v>
      </c>
    </row>
    <row r="303" spans="1:12" x14ac:dyDescent="0.4">
      <c r="A303">
        <v>291</v>
      </c>
      <c r="B303">
        <f t="shared" si="40"/>
        <v>9.5871743486973902</v>
      </c>
      <c r="C303">
        <f t="shared" si="41"/>
        <v>35.122173900039591</v>
      </c>
      <c r="D303">
        <f t="shared" si="44"/>
        <v>15.267871869035909</v>
      </c>
      <c r="E303">
        <f t="shared" si="42"/>
        <v>0.26333214097320701</v>
      </c>
      <c r="F303">
        <f t="shared" si="43"/>
        <v>71.390768103449176</v>
      </c>
      <c r="G303">
        <f t="shared" si="36"/>
        <v>28.061448117206634</v>
      </c>
      <c r="H303">
        <f t="shared" si="37"/>
        <v>113.89500281062094</v>
      </c>
      <c r="J303">
        <f t="shared" si="38"/>
        <v>0.95871743486973904</v>
      </c>
      <c r="K303">
        <f t="shared" si="39"/>
        <v>3.512217390003959</v>
      </c>
      <c r="L303">
        <v>0</v>
      </c>
    </row>
    <row r="304" spans="1:12" x14ac:dyDescent="0.4">
      <c r="A304">
        <v>292</v>
      </c>
      <c r="B304">
        <f t="shared" si="40"/>
        <v>9.5410821643286603</v>
      </c>
      <c r="C304">
        <f t="shared" si="41"/>
        <v>35.097602806779811</v>
      </c>
      <c r="D304">
        <f t="shared" si="44"/>
        <v>15.20801829745605</v>
      </c>
      <c r="E304">
        <f t="shared" si="42"/>
        <v>0.26232422597312033</v>
      </c>
      <c r="F304">
        <f t="shared" si="43"/>
        <v>71.215393330306469</v>
      </c>
      <c r="G304">
        <f t="shared" si="36"/>
        <v>28.003687516425209</v>
      </c>
      <c r="H304">
        <f t="shared" si="37"/>
        <v>112.73047919040603</v>
      </c>
      <c r="J304">
        <f t="shared" si="38"/>
        <v>0.95410821643286603</v>
      </c>
      <c r="K304">
        <f t="shared" si="39"/>
        <v>3.5097602806779813</v>
      </c>
      <c r="L304">
        <v>0</v>
      </c>
    </row>
    <row r="305" spans="1:12" x14ac:dyDescent="0.4">
      <c r="A305">
        <v>293</v>
      </c>
      <c r="B305">
        <f t="shared" si="40"/>
        <v>9.4949899799599198</v>
      </c>
      <c r="C305">
        <f t="shared" si="41"/>
        <v>35.073091352371257</v>
      </c>
      <c r="D305">
        <f t="shared" si="44"/>
        <v>15.148022203152308</v>
      </c>
      <c r="E305">
        <f t="shared" si="42"/>
        <v>0.26131362364524241</v>
      </c>
      <c r="F305">
        <f t="shared" si="43"/>
        <v>71.038775515102117</v>
      </c>
      <c r="G305">
        <f t="shared" si="36"/>
        <v>27.945376655974904</v>
      </c>
      <c r="H305">
        <f t="shared" si="37"/>
        <v>111.57902107605912</v>
      </c>
      <c r="J305">
        <f t="shared" si="38"/>
        <v>0.94949899799599202</v>
      </c>
      <c r="K305">
        <f t="shared" si="39"/>
        <v>3.5073091352371257</v>
      </c>
      <c r="L305">
        <v>0</v>
      </c>
    </row>
    <row r="306" spans="1:12" x14ac:dyDescent="0.4">
      <c r="A306">
        <v>294</v>
      </c>
      <c r="B306">
        <f t="shared" si="40"/>
        <v>9.4488977955911793</v>
      </c>
      <c r="C306">
        <f t="shared" si="41"/>
        <v>35.048640040140114</v>
      </c>
      <c r="D306">
        <f t="shared" si="44"/>
        <v>15.087883375701788</v>
      </c>
      <c r="E306">
        <f t="shared" si="42"/>
        <v>0.26030032950581927</v>
      </c>
      <c r="F306">
        <f t="shared" si="43"/>
        <v>70.860908144447649</v>
      </c>
      <c r="G306">
        <f t="shared" si="36"/>
        <v>27.886512384372931</v>
      </c>
      <c r="H306">
        <f t="shared" si="37"/>
        <v>110.44043342453784</v>
      </c>
      <c r="J306">
        <f t="shared" si="38"/>
        <v>0.9448897795591179</v>
      </c>
      <c r="K306">
        <f t="shared" si="39"/>
        <v>3.5048640040140113</v>
      </c>
      <c r="L306">
        <v>0</v>
      </c>
    </row>
    <row r="307" spans="1:12" x14ac:dyDescent="0.4">
      <c r="A307">
        <v>295</v>
      </c>
      <c r="B307">
        <f t="shared" si="40"/>
        <v>9.4028056112224405</v>
      </c>
      <c r="C307">
        <f t="shared" si="41"/>
        <v>35.024249375047091</v>
      </c>
      <c r="D307">
        <f t="shared" si="44"/>
        <v>15.027601609140458</v>
      </c>
      <c r="E307">
        <f t="shared" si="42"/>
        <v>0.25928433915354104</v>
      </c>
      <c r="F307">
        <f t="shared" si="43"/>
        <v>70.681784692594675</v>
      </c>
      <c r="G307">
        <f t="shared" si="36"/>
        <v>27.827091541727107</v>
      </c>
      <c r="H307">
        <f t="shared" si="37"/>
        <v>109.31452457160191</v>
      </c>
      <c r="J307">
        <f t="shared" si="38"/>
        <v>0.94028056112224401</v>
      </c>
      <c r="K307">
        <f t="shared" si="39"/>
        <v>3.502424937504709</v>
      </c>
      <c r="L307">
        <v>0</v>
      </c>
    </row>
    <row r="308" spans="1:12" x14ac:dyDescent="0.4">
      <c r="A308">
        <v>296</v>
      </c>
      <c r="B308">
        <f t="shared" si="40"/>
        <v>9.3567134268537107</v>
      </c>
      <c r="C308">
        <f t="shared" si="41"/>
        <v>34.999919863676823</v>
      </c>
      <c r="D308">
        <f t="shared" si="44"/>
        <v>14.967176702034873</v>
      </c>
      <c r="E308">
        <f t="shared" si="42"/>
        <v>0.25826564827097298</v>
      </c>
      <c r="F308">
        <f t="shared" si="43"/>
        <v>70.501398621889749</v>
      </c>
      <c r="G308">
        <f t="shared" si="36"/>
        <v>27.767110959927436</v>
      </c>
      <c r="H308">
        <f t="shared" si="37"/>
        <v>108.20110616125497</v>
      </c>
      <c r="J308">
        <f t="shared" si="38"/>
        <v>0.93567134268537111</v>
      </c>
      <c r="K308">
        <f t="shared" si="39"/>
        <v>3.4999919863676823</v>
      </c>
      <c r="L308">
        <v>0</v>
      </c>
    </row>
    <row r="309" spans="1:12" x14ac:dyDescent="0.4">
      <c r="A309">
        <v>297</v>
      </c>
      <c r="B309">
        <f t="shared" si="40"/>
        <v>9.3106212424849701</v>
      </c>
      <c r="C309">
        <f t="shared" si="41"/>
        <v>34.975652014227137</v>
      </c>
      <c r="D309">
        <f t="shared" si="44"/>
        <v>14.906608457554194</v>
      </c>
      <c r="E309">
        <f t="shared" si="42"/>
        <v>0.25724425262599476</v>
      </c>
      <c r="F309">
        <f t="shared" si="43"/>
        <v>70.319743383238247</v>
      </c>
      <c r="G309">
        <f t="shared" si="36"/>
        <v>27.706567462842028</v>
      </c>
      <c r="H309">
        <f t="shared" si="37"/>
        <v>107.09999307686712</v>
      </c>
      <c r="J309">
        <f t="shared" si="38"/>
        <v>0.93106212424849699</v>
      </c>
      <c r="K309">
        <f t="shared" si="39"/>
        <v>3.4975652014227139</v>
      </c>
      <c r="L309">
        <v>0</v>
      </c>
    </row>
    <row r="310" spans="1:12" x14ac:dyDescent="0.4">
      <c r="A310">
        <v>298</v>
      </c>
      <c r="B310">
        <f t="shared" si="40"/>
        <v>9.2645290581162296</v>
      </c>
      <c r="C310">
        <f t="shared" si="41"/>
        <v>34.951446336498044</v>
      </c>
      <c r="D310">
        <f t="shared" si="44"/>
        <v>14.845896683542769</v>
      </c>
      <c r="E310">
        <f t="shared" si="42"/>
        <v>0.25622014807325083</v>
      </c>
      <c r="F310">
        <f t="shared" si="43"/>
        <v>70.136812416578067</v>
      </c>
      <c r="G310">
        <f t="shared" si="36"/>
        <v>27.645457866517649</v>
      </c>
      <c r="H310">
        <f t="shared" si="37"/>
        <v>106.01100337393588</v>
      </c>
      <c r="J310">
        <f t="shared" si="38"/>
        <v>0.92645290581162298</v>
      </c>
      <c r="K310">
        <f t="shared" si="39"/>
        <v>3.4951446336498044</v>
      </c>
      <c r="L310">
        <v>0</v>
      </c>
    </row>
    <row r="311" spans="1:12" x14ac:dyDescent="0.4">
      <c r="A311">
        <v>299</v>
      </c>
      <c r="B311">
        <f t="shared" si="40"/>
        <v>9.2184368737474909</v>
      </c>
      <c r="C311">
        <f t="shared" si="41"/>
        <v>34.927303341880567</v>
      </c>
      <c r="D311">
        <f t="shared" si="44"/>
        <v>14.785041192592944</v>
      </c>
      <c r="E311">
        <f t="shared" si="42"/>
        <v>0.25519333055560728</v>
      </c>
      <c r="F311">
        <f t="shared" si="43"/>
        <v>69.952599151362392</v>
      </c>
      <c r="G311">
        <f t="shared" si="36"/>
        <v>27.583778979384725</v>
      </c>
      <c r="H311">
        <f t="shared" si="37"/>
        <v>104.93395821443687</v>
      </c>
      <c r="J311">
        <f t="shared" si="38"/>
        <v>0.92184368737474909</v>
      </c>
      <c r="K311">
        <f t="shared" si="39"/>
        <v>3.4927303341880567</v>
      </c>
      <c r="L311">
        <v>0</v>
      </c>
    </row>
    <row r="312" spans="1:12" x14ac:dyDescent="0.4">
      <c r="A312">
        <v>300</v>
      </c>
      <c r="B312">
        <f t="shared" si="40"/>
        <v>9.1723446893787592</v>
      </c>
      <c r="C312">
        <f t="shared" si="41"/>
        <v>34.903223543345348</v>
      </c>
      <c r="D312">
        <f t="shared" si="44"/>
        <v>14.724041802118352</v>
      </c>
      <c r="E312">
        <f t="shared" si="42"/>
        <v>0.25416379610561896</v>
      </c>
      <c r="F312">
        <f t="shared" si="43"/>
        <v>69.767097007052186</v>
      </c>
      <c r="G312">
        <f t="shared" si="36"/>
        <v>27.521527602466918</v>
      </c>
      <c r="H312">
        <f t="shared" si="37"/>
        <v>103.86868180272461</v>
      </c>
      <c r="J312">
        <f t="shared" si="38"/>
        <v>0.91723446893787597</v>
      </c>
      <c r="K312">
        <f t="shared" si="39"/>
        <v>3.490322354334535</v>
      </c>
      <c r="L312">
        <v>0</v>
      </c>
    </row>
    <row r="313" spans="1:12" x14ac:dyDescent="0.4">
      <c r="A313">
        <v>301</v>
      </c>
      <c r="B313">
        <f t="shared" si="40"/>
        <v>9.1262525050100205</v>
      </c>
      <c r="C313">
        <f t="shared" si="41"/>
        <v>34.87920745543105</v>
      </c>
      <c r="D313">
        <f t="shared" si="44"/>
        <v>14.662898334427497</v>
      </c>
      <c r="E313">
        <f t="shared" si="42"/>
        <v>0.25313154084700412</v>
      </c>
      <c r="F313">
        <f t="shared" si="43"/>
        <v>69.580299393617963</v>
      </c>
      <c r="G313">
        <f t="shared" si="36"/>
        <v>27.458700529595234</v>
      </c>
      <c r="H313">
        <f t="shared" si="37"/>
        <v>102.81500132293841</v>
      </c>
      <c r="J313">
        <f t="shared" si="38"/>
        <v>0.91262525050100207</v>
      </c>
      <c r="K313">
        <f t="shared" si="39"/>
        <v>3.4879207455431049</v>
      </c>
      <c r="L313">
        <v>0</v>
      </c>
    </row>
    <row r="314" spans="1:12" x14ac:dyDescent="0.4">
      <c r="A314">
        <v>302</v>
      </c>
      <c r="B314">
        <f t="shared" si="40"/>
        <v>9.08016032064128</v>
      </c>
      <c r="C314">
        <f t="shared" si="41"/>
        <v>34.855255594232567</v>
      </c>
      <c r="D314">
        <f t="shared" si="44"/>
        <v>14.601610616797839</v>
      </c>
      <c r="E314">
        <f t="shared" si="42"/>
        <v>0.25209656099612926</v>
      </c>
      <c r="F314">
        <f t="shared" si="43"/>
        <v>69.392199712051791</v>
      </c>
      <c r="G314">
        <f t="shared" si="36"/>
        <v>27.395294547626975</v>
      </c>
      <c r="H314">
        <f t="shared" si="37"/>
        <v>101.77274687787816</v>
      </c>
      <c r="J314">
        <f t="shared" si="38"/>
        <v>0.90801603206412795</v>
      </c>
      <c r="K314">
        <f t="shared" si="39"/>
        <v>3.4855255594232566</v>
      </c>
      <c r="L314">
        <v>0</v>
      </c>
    </row>
    <row r="315" spans="1:12" x14ac:dyDescent="0.4">
      <c r="A315">
        <v>303</v>
      </c>
      <c r="B315">
        <f t="shared" si="40"/>
        <v>9.0340681362725395</v>
      </c>
      <c r="C315">
        <f t="shared" si="41"/>
        <v>34.831368477389006</v>
      </c>
      <c r="D315">
        <f t="shared" si="44"/>
        <v>14.540178481550091</v>
      </c>
      <c r="E315">
        <f t="shared" si="42"/>
        <v>0.25105885286350044</v>
      </c>
      <c r="F315">
        <f t="shared" si="43"/>
        <v>69.202791354888461</v>
      </c>
      <c r="G315">
        <f t="shared" si="36"/>
        <v>27.331306436669184</v>
      </c>
      <c r="H315">
        <f t="shared" si="37"/>
        <v>100.74175142930375</v>
      </c>
      <c r="J315">
        <f t="shared" si="38"/>
        <v>0.90340681362725395</v>
      </c>
      <c r="K315">
        <f t="shared" si="39"/>
        <v>3.4831368477389004</v>
      </c>
      <c r="L315">
        <v>0</v>
      </c>
    </row>
    <row r="316" spans="1:12" x14ac:dyDescent="0.4">
      <c r="A316">
        <v>304</v>
      </c>
      <c r="B316">
        <f t="shared" si="40"/>
        <v>8.9879759519038096</v>
      </c>
      <c r="C316">
        <f t="shared" si="41"/>
        <v>34.807546624071506</v>
      </c>
      <c r="D316">
        <f t="shared" si="44"/>
        <v>14.478601766122971</v>
      </c>
      <c r="E316">
        <f t="shared" si="42"/>
        <v>0.25001841285526394</v>
      </c>
      <c r="F316">
        <f t="shared" si="43"/>
        <v>69.012067706736786</v>
      </c>
      <c r="G316">
        <f t="shared" si="36"/>
        <v>27.266732970306908</v>
      </c>
      <c r="H316">
        <f t="shared" si="37"/>
        <v>99.721850739625879</v>
      </c>
      <c r="J316">
        <f t="shared" si="38"/>
        <v>0.89879759519038094</v>
      </c>
      <c r="K316">
        <f t="shared" si="39"/>
        <v>3.4807546624071506</v>
      </c>
      <c r="L316">
        <v>0</v>
      </c>
    </row>
    <row r="317" spans="1:12" x14ac:dyDescent="0.4">
      <c r="A317">
        <v>305</v>
      </c>
      <c r="B317">
        <f t="shared" si="40"/>
        <v>8.9418837675350709</v>
      </c>
      <c r="C317">
        <f t="shared" si="41"/>
        <v>34.783790554970821</v>
      </c>
      <c r="D317">
        <f t="shared" si="44"/>
        <v>14.416880313148171</v>
      </c>
      <c r="E317">
        <f t="shared" si="42"/>
        <v>0.24897523747471301</v>
      </c>
      <c r="F317">
        <f t="shared" si="43"/>
        <v>68.82002214482047</v>
      </c>
      <c r="G317">
        <f t="shared" si="36"/>
        <v>27.20157091583615</v>
      </c>
      <c r="H317">
        <f t="shared" si="37"/>
        <v>98.712883314947391</v>
      </c>
      <c r="J317">
        <f t="shared" si="38"/>
        <v>0.89418837675350704</v>
      </c>
      <c r="K317">
        <f t="shared" si="39"/>
        <v>3.4783790554970819</v>
      </c>
      <c r="L317">
        <v>0</v>
      </c>
    </row>
    <row r="318" spans="1:12" x14ac:dyDescent="0.4">
      <c r="A318">
        <v>306</v>
      </c>
      <c r="B318">
        <f t="shared" si="40"/>
        <v>8.8957915831663303</v>
      </c>
      <c r="C318">
        <f t="shared" si="41"/>
        <v>34.760100792284724</v>
      </c>
      <c r="D318">
        <f t="shared" si="44"/>
        <v>14.355013970525812</v>
      </c>
      <c r="E318">
        <f t="shared" si="42"/>
        <v>0.24792932332380507</v>
      </c>
      <c r="F318">
        <f t="shared" si="43"/>
        <v>68.626648039529186</v>
      </c>
      <c r="G318">
        <f t="shared" si="36"/>
        <v>27.135817034501688</v>
      </c>
      <c r="H318">
        <f t="shared" si="37"/>
        <v>97.714690349421645</v>
      </c>
      <c r="J318">
        <f t="shared" si="38"/>
        <v>0.88957915831663303</v>
      </c>
      <c r="K318">
        <f t="shared" si="39"/>
        <v>3.4760100792284723</v>
      </c>
      <c r="L318">
        <v>0</v>
      </c>
    </row>
    <row r="319" spans="1:12" x14ac:dyDescent="0.4">
      <c r="A319">
        <v>307</v>
      </c>
      <c r="B319">
        <f t="shared" si="40"/>
        <v>8.8496993987976005</v>
      </c>
      <c r="C319">
        <f t="shared" si="41"/>
        <v>34.736477859705218</v>
      </c>
      <c r="D319">
        <f t="shared" si="44"/>
        <v>14.29300259150012</v>
      </c>
      <c r="E319">
        <f t="shared" si="42"/>
        <v>0.24688066710468479</v>
      </c>
      <c r="F319">
        <f t="shared" si="43"/>
        <v>68.431938754979569</v>
      </c>
      <c r="G319">
        <f t="shared" si="36"/>
        <v>27.069468081739725</v>
      </c>
      <c r="H319">
        <f t="shared" si="37"/>
        <v>96.727115670892545</v>
      </c>
      <c r="J319">
        <f t="shared" si="38"/>
        <v>0.88496993987976003</v>
      </c>
      <c r="K319">
        <f t="shared" si="39"/>
        <v>3.4736477859705217</v>
      </c>
      <c r="L319">
        <v>0</v>
      </c>
    </row>
    <row r="320" spans="1:12" x14ac:dyDescent="0.4">
      <c r="A320">
        <v>308</v>
      </c>
      <c r="B320">
        <f t="shared" si="40"/>
        <v>8.80360721442886</v>
      </c>
      <c r="C320">
        <f t="shared" si="41"/>
        <v>34.712922282405529</v>
      </c>
      <c r="D320">
        <f t="shared" si="44"/>
        <v>14.230846034735352</v>
      </c>
      <c r="E320">
        <f t="shared" si="42"/>
        <v>0.24582926562121324</v>
      </c>
      <c r="F320">
        <f t="shared" si="43"/>
        <v>68.235887649585862</v>
      </c>
      <c r="G320">
        <f t="shared" si="36"/>
        <v>27.002520807425256</v>
      </c>
      <c r="H320">
        <f t="shared" si="37"/>
        <v>95.750005687779748</v>
      </c>
      <c r="J320">
        <f t="shared" si="38"/>
        <v>0.88036072144288602</v>
      </c>
      <c r="K320">
        <f t="shared" si="39"/>
        <v>3.4712922282405527</v>
      </c>
      <c r="L320">
        <v>0</v>
      </c>
    </row>
    <row r="321" spans="1:12" x14ac:dyDescent="0.4">
      <c r="A321">
        <v>309</v>
      </c>
      <c r="B321">
        <f t="shared" si="40"/>
        <v>8.7575150300601194</v>
      </c>
      <c r="C321">
        <f t="shared" si="41"/>
        <v>34.689434587026931</v>
      </c>
      <c r="D321">
        <f t="shared" si="44"/>
        <v>14.168544164392204</v>
      </c>
      <c r="E321">
        <f t="shared" si="42"/>
        <v>0.24477511578050754</v>
      </c>
      <c r="F321">
        <f t="shared" si="43"/>
        <v>68.038488076641315</v>
      </c>
      <c r="G321">
        <f t="shared" si="36"/>
        <v>26.934971956124556</v>
      </c>
      <c r="H321">
        <f t="shared" si="37"/>
        <v>94.783209337181603</v>
      </c>
      <c r="J321">
        <f t="shared" si="38"/>
        <v>0.8757515030060119</v>
      </c>
      <c r="K321">
        <f t="shared" si="39"/>
        <v>3.4689434587026931</v>
      </c>
      <c r="L321">
        <v>0</v>
      </c>
    </row>
    <row r="322" spans="1:12" x14ac:dyDescent="0.4">
      <c r="A322">
        <v>310</v>
      </c>
      <c r="B322">
        <f t="shared" si="40"/>
        <v>8.7114228456913807</v>
      </c>
      <c r="C322">
        <f t="shared" si="41"/>
        <v>34.666015301665368</v>
      </c>
      <c r="D322">
        <f t="shared" si="44"/>
        <v>14.106096850204306</v>
      </c>
      <c r="E322">
        <f t="shared" si="42"/>
        <v>0.24371821459448417</v>
      </c>
      <c r="F322">
        <f t="shared" si="43"/>
        <v>67.839733384909124</v>
      </c>
      <c r="G322">
        <f t="shared" si="36"/>
        <v>26.866818267352407</v>
      </c>
      <c r="H322">
        <f t="shared" si="37"/>
        <v>93.826578034158359</v>
      </c>
      <c r="J322">
        <f t="shared" si="38"/>
        <v>0.87114228456913811</v>
      </c>
      <c r="K322">
        <f t="shared" si="39"/>
        <v>3.4666015301665367</v>
      </c>
      <c r="L322">
        <v>0</v>
      </c>
    </row>
    <row r="323" spans="1:12" x14ac:dyDescent="0.4">
      <c r="A323">
        <v>311</v>
      </c>
      <c r="B323">
        <f t="shared" si="40"/>
        <v>8.6653306613226508</v>
      </c>
      <c r="C323">
        <f t="shared" si="41"/>
        <v>34.642664955857882</v>
      </c>
      <c r="D323">
        <f t="shared" si="44"/>
        <v>14.043503967555132</v>
      </c>
      <c r="E323">
        <f t="shared" si="42"/>
        <v>0.24265855918141088</v>
      </c>
      <c r="F323">
        <f t="shared" si="43"/>
        <v>67.639616919223926</v>
      </c>
      <c r="G323">
        <f t="shared" si="36"/>
        <v>26.798056475834397</v>
      </c>
      <c r="H323">
        <f t="shared" si="37"/>
        <v>92.879965622167902</v>
      </c>
      <c r="J323">
        <f t="shared" si="38"/>
        <v>0.86653306613226511</v>
      </c>
      <c r="K323">
        <f t="shared" si="39"/>
        <v>3.4642664955857883</v>
      </c>
      <c r="L323">
        <v>0</v>
      </c>
    </row>
    <row r="324" spans="1:12" x14ac:dyDescent="0.4">
      <c r="A324">
        <v>312</v>
      </c>
      <c r="B324">
        <f t="shared" si="40"/>
        <v>8.6192384769539103</v>
      </c>
      <c r="C324">
        <f t="shared" si="41"/>
        <v>34.619384080568857</v>
      </c>
      <c r="D324">
        <f t="shared" si="44"/>
        <v>13.980765397555048</v>
      </c>
      <c r="E324">
        <f t="shared" si="42"/>
        <v>0.2415961467674633</v>
      </c>
      <c r="F324">
        <f t="shared" si="43"/>
        <v>67.438132021103215</v>
      </c>
      <c r="G324">
        <f t="shared" si="36"/>
        <v>26.728683311774084</v>
      </c>
      <c r="H324">
        <f t="shared" si="37"/>
        <v>91.943228324622652</v>
      </c>
      <c r="J324">
        <f t="shared" si="38"/>
        <v>0.86192384769539099</v>
      </c>
      <c r="K324">
        <f t="shared" si="39"/>
        <v>3.4619384080568856</v>
      </c>
      <c r="L324">
        <v>0</v>
      </c>
    </row>
    <row r="325" spans="1:12" x14ac:dyDescent="0.4">
      <c r="A325">
        <v>313</v>
      </c>
      <c r="B325">
        <f t="shared" si="40"/>
        <v>8.5731462925851698</v>
      </c>
      <c r="C325">
        <f t="shared" si="41"/>
        <v>34.59617320817609</v>
      </c>
      <c r="D325">
        <f t="shared" si="44"/>
        <v>13.917881027118776</v>
      </c>
      <c r="E325">
        <f t="shared" si="42"/>
        <v>0.24053097468829046</v>
      </c>
      <c r="F325">
        <f t="shared" si="43"/>
        <v>67.235272029369497</v>
      </c>
      <c r="G325">
        <f t="shared" si="36"/>
        <v>26.658695501125361</v>
      </c>
      <c r="H325">
        <f t="shared" si="37"/>
        <v>91.01622469754021</v>
      </c>
      <c r="J325">
        <f t="shared" si="38"/>
        <v>0.85731462925851698</v>
      </c>
      <c r="K325">
        <f t="shared" si="39"/>
        <v>3.4596173208176091</v>
      </c>
      <c r="L325">
        <v>0</v>
      </c>
    </row>
    <row r="326" spans="1:12" x14ac:dyDescent="0.4">
      <c r="A326">
        <v>314</v>
      </c>
      <c r="B326">
        <f t="shared" si="40"/>
        <v>8.5270541082164293</v>
      </c>
      <c r="C326">
        <f t="shared" si="41"/>
        <v>34.573032872456658</v>
      </c>
      <c r="D326">
        <f t="shared" si="44"/>
        <v>13.854850749042951</v>
      </c>
      <c r="E326">
        <f t="shared" si="42"/>
        <v>0.2394630403905838</v>
      </c>
      <c r="F326">
        <f t="shared" si="43"/>
        <v>67.031030280782446</v>
      </c>
      <c r="G326">
        <f t="shared" si="36"/>
        <v>26.588089765869746</v>
      </c>
      <c r="H326">
        <f t="shared" si="37"/>
        <v>90.098815583256936</v>
      </c>
      <c r="J326">
        <f t="shared" si="38"/>
        <v>0.85270541082164297</v>
      </c>
      <c r="K326">
        <f t="shared" si="39"/>
        <v>3.4573032872456659</v>
      </c>
      <c r="L326">
        <v>0</v>
      </c>
    </row>
    <row r="327" spans="1:12" x14ac:dyDescent="0.4">
      <c r="A327">
        <v>315</v>
      </c>
      <c r="B327">
        <f t="shared" si="40"/>
        <v>8.4809619238476994</v>
      </c>
      <c r="C327">
        <f t="shared" si="41"/>
        <v>34.549963608572604</v>
      </c>
      <c r="D327">
        <f t="shared" si="44"/>
        <v>13.791674462083979</v>
      </c>
      <c r="E327">
        <f t="shared" si="42"/>
        <v>0.23839234143365315</v>
      </c>
      <c r="F327">
        <f t="shared" si="43"/>
        <v>66.825400110681528</v>
      </c>
      <c r="G327">
        <f t="shared" si="36"/>
        <v>26.516862824298777</v>
      </c>
      <c r="H327">
        <f t="shared" si="37"/>
        <v>89.190864065177934</v>
      </c>
      <c r="J327">
        <f t="shared" si="38"/>
        <v>0.84809619238476996</v>
      </c>
      <c r="K327">
        <f t="shared" si="39"/>
        <v>3.4549963608572605</v>
      </c>
      <c r="L327">
        <v>0</v>
      </c>
    </row>
    <row r="328" spans="1:12" x14ac:dyDescent="0.4">
      <c r="A328">
        <v>316</v>
      </c>
      <c r="B328">
        <f t="shared" si="40"/>
        <v>8.4348697394789607</v>
      </c>
      <c r="C328">
        <f t="shared" si="41"/>
        <v>34.526965953056475</v>
      </c>
      <c r="D328">
        <f t="shared" si="44"/>
        <v>13.728352071036031</v>
      </c>
      <c r="E328">
        <f t="shared" si="42"/>
        <v>0.23731887549100691</v>
      </c>
      <c r="F328">
        <f t="shared" si="43"/>
        <v>66.618374853638855</v>
      </c>
      <c r="G328">
        <f t="shared" si="36"/>
        <v>26.445011391301414</v>
      </c>
      <c r="H328">
        <f t="shared" si="37"/>
        <v>88.292235423536852</v>
      </c>
      <c r="J328">
        <f t="shared" si="38"/>
        <v>0.84348697394789607</v>
      </c>
      <c r="K328">
        <f t="shared" si="39"/>
        <v>3.4526965953056474</v>
      </c>
      <c r="L328">
        <v>0</v>
      </c>
    </row>
    <row r="329" spans="1:12" x14ac:dyDescent="0.4">
      <c r="A329">
        <v>317</v>
      </c>
      <c r="B329">
        <f t="shared" si="40"/>
        <v>8.3887775551102202</v>
      </c>
      <c r="C329">
        <f t="shared" si="41"/>
        <v>34.504040443796626</v>
      </c>
      <c r="D329">
        <f t="shared" si="44"/>
        <v>13.664883486809396</v>
      </c>
      <c r="E329">
        <f t="shared" si="42"/>
        <v>0.23624264035194012</v>
      </c>
      <c r="F329">
        <f t="shared" si="43"/>
        <v>66.409947844123096</v>
      </c>
      <c r="G329">
        <f t="shared" si="36"/>
        <v>26.372532178656851</v>
      </c>
      <c r="H329">
        <f t="shared" si="37"/>
        <v>87.402797092140929</v>
      </c>
      <c r="J329">
        <f t="shared" si="38"/>
        <v>0.83887775551102206</v>
      </c>
      <c r="K329">
        <f t="shared" si="39"/>
        <v>3.4504040443796624</v>
      </c>
      <c r="L329">
        <v>0</v>
      </c>
    </row>
    <row r="330" spans="1:12" x14ac:dyDescent="0.4">
      <c r="A330">
        <v>318</v>
      </c>
      <c r="B330">
        <f t="shared" si="40"/>
        <v>8.3426853707414796</v>
      </c>
      <c r="C330">
        <f t="shared" si="41"/>
        <v>34.481187620022425</v>
      </c>
      <c r="D330">
        <f t="shared" si="44"/>
        <v>13.601268626508867</v>
      </c>
      <c r="E330">
        <f t="shared" si="42"/>
        <v>0.23516363392312475</v>
      </c>
      <c r="F330">
        <f t="shared" si="43"/>
        <v>66.200112417173216</v>
      </c>
      <c r="G330">
        <f t="shared" si="36"/>
        <v>26.299421895332173</v>
      </c>
      <c r="H330">
        <f t="shared" si="37"/>
        <v>86.522418616072514</v>
      </c>
      <c r="J330">
        <f t="shared" si="38"/>
        <v>0.83426853707414794</v>
      </c>
      <c r="K330">
        <f t="shared" si="39"/>
        <v>3.4481187620022427</v>
      </c>
      <c r="L330">
        <v>0</v>
      </c>
    </row>
    <row r="331" spans="1:12" x14ac:dyDescent="0.4">
      <c r="A331">
        <v>319</v>
      </c>
      <c r="B331">
        <f t="shared" si="40"/>
        <v>8.2965931863727498</v>
      </c>
      <c r="C331">
        <f t="shared" si="41"/>
        <v>34.458408022289213</v>
      </c>
      <c r="D331">
        <f t="shared" si="44"/>
        <v>13.537507413512378</v>
      </c>
      <c r="E331">
        <f t="shared" si="42"/>
        <v>0.23408185423020622</v>
      </c>
      <c r="F331">
        <f t="shared" si="43"/>
        <v>65.988861909083099</v>
      </c>
      <c r="G331">
        <f t="shared" si="36"/>
        <v>26.225677247785359</v>
      </c>
      <c r="H331">
        <f t="shared" si="37"/>
        <v>85.650971610325314</v>
      </c>
      <c r="J331">
        <f t="shared" si="38"/>
        <v>0.82965931863727493</v>
      </c>
      <c r="K331">
        <f t="shared" si="39"/>
        <v>3.4458408022289211</v>
      </c>
      <c r="L331">
        <v>0</v>
      </c>
    </row>
    <row r="332" spans="1:12" x14ac:dyDescent="0.4">
      <c r="A332">
        <v>320</v>
      </c>
      <c r="B332">
        <f t="shared" si="40"/>
        <v>8.2505010020040093</v>
      </c>
      <c r="C332">
        <f t="shared" si="41"/>
        <v>34.435702192463154</v>
      </c>
      <c r="D332">
        <f t="shared" si="44"/>
        <v>13.473599777549731</v>
      </c>
      <c r="E332">
        <f t="shared" si="42"/>
        <v>0.23299729941940298</v>
      </c>
      <c r="F332">
        <f t="shared" si="43"/>
        <v>65.77618965809657</v>
      </c>
      <c r="G332">
        <f t="shared" ref="G332:G395" si="45">IFERROR((-D332+F332)/2,IF($B$2-1=A332,G331,NA()))</f>
        <v>26.15129494027342</v>
      </c>
      <c r="H332">
        <f t="shared" ref="H332:H395" si="46">IF(A332="",NA(),B332+TAN(RADIANS(F332))*C332)</f>
        <v>84.788329719350699</v>
      </c>
      <c r="J332">
        <f t="shared" ref="J332:J395" si="47">IF(A332="",NA(),B332/10)</f>
        <v>0.82505010020040093</v>
      </c>
      <c r="K332">
        <f t="shared" ref="K332:K395" si="48">IF(A332="",NA(),C332/10)</f>
        <v>3.4435702192463156</v>
      </c>
      <c r="L332">
        <v>0</v>
      </c>
    </row>
    <row r="333" spans="1:12" x14ac:dyDescent="0.4">
      <c r="A333">
        <v>321</v>
      </c>
      <c r="B333">
        <f t="shared" ref="B333:B396" si="49">IFERROR(ROUND(-$B$6*(A333/($B$2-1)-1),20),IF($B$2-1=A333,0,NA()))</f>
        <v>8.2044088176352705</v>
      </c>
      <c r="C333">
        <f t="shared" ref="C333:C396" si="50">IFERROR(C332-TAN(RADIANS(G332))*$B$3,IF($B$2-1=A333,C332,NA()))</f>
        <v>34.413070673705882</v>
      </c>
      <c r="D333">
        <f t="shared" si="44"/>
        <v>13.409545654781633</v>
      </c>
      <c r="E333">
        <f t="shared" ref="E333:E396" si="51">IF(A333="",NA(),SIN(RADIANS(D333)))</f>
        <v>0.23190996775911291</v>
      </c>
      <c r="F333">
        <f t="shared" ref="F333:F396" si="52">IF(A333="", NA(), 180-MEDIAN(90, 180, $F$4*D333^2 - ((90+$F$4*$B$4^2)/$B$4)*D333 + 180))</f>
        <v>65.562089005113336</v>
      </c>
      <c r="G333">
        <f t="shared" si="45"/>
        <v>26.076271675165852</v>
      </c>
      <c r="H333">
        <f t="shared" si="46"/>
        <v>83.934368577491554</v>
      </c>
      <c r="J333">
        <f t="shared" si="47"/>
        <v>0.82044088176352703</v>
      </c>
      <c r="K333">
        <f t="shared" si="48"/>
        <v>3.4413070673705883</v>
      </c>
      <c r="L333">
        <v>0</v>
      </c>
    </row>
    <row r="334" spans="1:12" x14ac:dyDescent="0.4">
      <c r="A334">
        <v>322</v>
      </c>
      <c r="B334">
        <f t="shared" si="49"/>
        <v>8.15831663326653</v>
      </c>
      <c r="C334">
        <f t="shared" si="50"/>
        <v>34.390514010458993</v>
      </c>
      <c r="D334">
        <f t="shared" ref="D334:D397" si="53">IF(A334="",NA(),DEGREES(ATAN(B334/C334)))</f>
        <v>13.345344987878669</v>
      </c>
      <c r="E334">
        <f t="shared" si="51"/>
        <v>0.23081985764152049</v>
      </c>
      <c r="F334">
        <f t="shared" si="52"/>
        <v>65.346553294405155</v>
      </c>
      <c r="G334">
        <f t="shared" si="45"/>
        <v>26.000604153263243</v>
      </c>
      <c r="H334">
        <f t="shared" si="46"/>
        <v>83.088965770279344</v>
      </c>
      <c r="J334">
        <f t="shared" si="47"/>
        <v>0.81583166332665302</v>
      </c>
      <c r="K334">
        <f t="shared" si="48"/>
        <v>3.4390514010458992</v>
      </c>
      <c r="L334">
        <v>0</v>
      </c>
    </row>
    <row r="335" spans="1:12" x14ac:dyDescent="0.4">
      <c r="A335">
        <v>323</v>
      </c>
      <c r="B335">
        <f t="shared" si="49"/>
        <v>8.1122244488978001</v>
      </c>
      <c r="C335">
        <f t="shared" si="50"/>
        <v>34.368032748428412</v>
      </c>
      <c r="D335">
        <f t="shared" si="53"/>
        <v>13.280997726100541</v>
      </c>
      <c r="E335">
        <f t="shared" si="51"/>
        <v>0.22972696758420985</v>
      </c>
      <c r="F335">
        <f t="shared" si="52"/>
        <v>65.129575874342891</v>
      </c>
      <c r="G335">
        <f t="shared" si="45"/>
        <v>25.924289074121177</v>
      </c>
      <c r="H335">
        <f t="shared" si="46"/>
        <v>82.252000796574237</v>
      </c>
      <c r="J335">
        <f t="shared" si="47"/>
        <v>0.81122244488978001</v>
      </c>
      <c r="K335">
        <f t="shared" si="48"/>
        <v>3.4368032748428412</v>
      </c>
      <c r="L335">
        <v>0</v>
      </c>
    </row>
    <row r="336" spans="1:12" x14ac:dyDescent="0.4">
      <c r="A336">
        <v>324</v>
      </c>
      <c r="B336">
        <f t="shared" si="49"/>
        <v>8.0661322645290596</v>
      </c>
      <c r="C336">
        <f t="shared" si="50"/>
        <v>34.345627434568542</v>
      </c>
      <c r="D336">
        <f t="shared" si="53"/>
        <v>13.216503825375284</v>
      </c>
      <c r="E336">
        <f t="shared" si="51"/>
        <v>0.22863129623177894</v>
      </c>
      <c r="F336">
        <f t="shared" si="52"/>
        <v>64.91115009813403</v>
      </c>
      <c r="G336">
        <f t="shared" si="45"/>
        <v>25.847323136379373</v>
      </c>
      <c r="H336">
        <f t="shared" si="46"/>
        <v>81.423355031525588</v>
      </c>
      <c r="J336">
        <f t="shared" si="47"/>
        <v>0.80661322645290601</v>
      </c>
      <c r="K336">
        <f t="shared" si="48"/>
        <v>3.434562743456854</v>
      </c>
      <c r="L336">
        <v>0</v>
      </c>
    </row>
    <row r="337" spans="1:12" x14ac:dyDescent="0.4">
      <c r="A337">
        <v>325</v>
      </c>
      <c r="B337">
        <f t="shared" si="49"/>
        <v>8.0200400801603209</v>
      </c>
      <c r="C337">
        <f t="shared" si="50"/>
        <v>34.323298617066314</v>
      </c>
      <c r="D337">
        <f t="shared" si="53"/>
        <v>13.151863248378751</v>
      </c>
      <c r="E337">
        <f t="shared" si="51"/>
        <v>0.22753284235745974</v>
      </c>
      <c r="F337">
        <f t="shared" si="52"/>
        <v>64.691269324571294</v>
      </c>
      <c r="G337">
        <f t="shared" si="45"/>
        <v>25.769703038096271</v>
      </c>
      <c r="H337">
        <f t="shared" si="46"/>
        <v>80.602911690334594</v>
      </c>
      <c r="J337">
        <f t="shared" si="47"/>
        <v>0.80200400801603211</v>
      </c>
      <c r="K337">
        <f t="shared" si="48"/>
        <v>3.4323298617066316</v>
      </c>
      <c r="L337">
        <v>0</v>
      </c>
    </row>
    <row r="338" spans="1:12" x14ac:dyDescent="0.4">
      <c r="A338">
        <v>326</v>
      </c>
      <c r="B338">
        <f t="shared" si="49"/>
        <v>7.9739478957915804</v>
      </c>
      <c r="C338">
        <f t="shared" si="50"/>
        <v>34.301046845325061</v>
      </c>
      <c r="D338">
        <f t="shared" si="53"/>
        <v>13.087075964613986</v>
      </c>
      <c r="E338">
        <f t="shared" si="51"/>
        <v>0.22643160486473818</v>
      </c>
      <c r="F338">
        <f t="shared" si="52"/>
        <v>64.469926918791529</v>
      </c>
      <c r="G338">
        <f t="shared" si="45"/>
        <v>25.691425477088771</v>
      </c>
      <c r="H338">
        <f t="shared" si="46"/>
        <v>79.790555792795246</v>
      </c>
      <c r="J338">
        <f t="shared" si="47"/>
        <v>0.79739478957915799</v>
      </c>
      <c r="K338">
        <f t="shared" si="48"/>
        <v>3.4301046845325063</v>
      </c>
      <c r="L338">
        <v>0</v>
      </c>
    </row>
    <row r="339" spans="1:12" x14ac:dyDescent="0.4">
      <c r="A339">
        <v>327</v>
      </c>
      <c r="B339">
        <f t="shared" si="49"/>
        <v>7.9278557114228496</v>
      </c>
      <c r="C339">
        <f t="shared" si="50"/>
        <v>34.278872669948257</v>
      </c>
      <c r="D339">
        <f t="shared" si="53"/>
        <v>13.022141950490781</v>
      </c>
      <c r="E339">
        <f t="shared" si="51"/>
        <v>0.22532758278897816</v>
      </c>
      <c r="F339">
        <f t="shared" si="52"/>
        <v>64.247116253045505</v>
      </c>
      <c r="G339">
        <f t="shared" si="45"/>
        <v>25.612487151277364</v>
      </c>
      <c r="H339">
        <f t="shared" si="46"/>
        <v>78.986174128596687</v>
      </c>
      <c r="J339">
        <f t="shared" si="47"/>
        <v>0.79278557114228498</v>
      </c>
      <c r="K339">
        <f t="shared" si="48"/>
        <v>3.4278872669948255</v>
      </c>
      <c r="L339">
        <v>0</v>
      </c>
    </row>
    <row r="340" spans="1:12" x14ac:dyDescent="0.4">
      <c r="A340">
        <v>328</v>
      </c>
      <c r="B340">
        <f t="shared" si="49"/>
        <v>7.88176352705411</v>
      </c>
      <c r="C340">
        <f t="shared" si="50"/>
        <v>34.256776642723104</v>
      </c>
      <c r="D340">
        <f t="shared" si="53"/>
        <v>12.957061189405181</v>
      </c>
      <c r="E340">
        <f t="shared" si="51"/>
        <v>0.22422077529904633</v>
      </c>
      <c r="F340">
        <f t="shared" si="52"/>
        <v>64.022830707478334</v>
      </c>
      <c r="G340">
        <f t="shared" si="45"/>
        <v>25.532884759036577</v>
      </c>
      <c r="H340">
        <f t="shared" si="46"/>
        <v>78.189655223367026</v>
      </c>
      <c r="J340">
        <f t="shared" si="47"/>
        <v>0.78817635270541098</v>
      </c>
      <c r="K340">
        <f t="shared" si="48"/>
        <v>3.4256776642723104</v>
      </c>
      <c r="L340">
        <v>0</v>
      </c>
    </row>
    <row r="341" spans="1:12" x14ac:dyDescent="0.4">
      <c r="A341">
        <v>329</v>
      </c>
      <c r="B341">
        <f t="shared" si="49"/>
        <v>7.8356713426853704</v>
      </c>
      <c r="C341">
        <f t="shared" si="50"/>
        <v>34.234759316603999</v>
      </c>
      <c r="D341">
        <f t="shared" si="53"/>
        <v>12.891833671819143</v>
      </c>
      <c r="E341">
        <f t="shared" si="51"/>
        <v>0.22311118169894048</v>
      </c>
      <c r="F341">
        <f t="shared" si="52"/>
        <v>63.79706367092092</v>
      </c>
      <c r="G341">
        <f t="shared" si="45"/>
        <v>25.452614999550889</v>
      </c>
      <c r="H341">
        <f t="shared" si="46"/>
        <v>77.400889305440955</v>
      </c>
      <c r="J341">
        <f t="shared" si="47"/>
        <v>0.78356713426853708</v>
      </c>
      <c r="K341">
        <f t="shared" si="48"/>
        <v>3.4234759316603998</v>
      </c>
      <c r="L341">
        <v>0</v>
      </c>
    </row>
    <row r="342" spans="1:12" x14ac:dyDescent="0.4">
      <c r="A342">
        <v>330</v>
      </c>
      <c r="B342">
        <f t="shared" si="49"/>
        <v>7.7895791583166298</v>
      </c>
      <c r="C342">
        <f t="shared" si="50"/>
        <v>34.212821245695842</v>
      </c>
      <c r="D342">
        <f t="shared" si="53"/>
        <v>12.826459395340088</v>
      </c>
      <c r="E342">
        <f t="shared" si="51"/>
        <v>0.22199880142941747</v>
      </c>
      <c r="F342">
        <f t="shared" si="52"/>
        <v>63.569808541691742</v>
      </c>
      <c r="G342">
        <f t="shared" si="45"/>
        <v>25.371674573175827</v>
      </c>
      <c r="H342">
        <f t="shared" si="46"/>
        <v>76.619768273330905</v>
      </c>
      <c r="J342">
        <f t="shared" si="47"/>
        <v>0.77895791583166296</v>
      </c>
      <c r="K342">
        <f t="shared" si="48"/>
        <v>3.4212821245695841</v>
      </c>
      <c r="L342">
        <v>0</v>
      </c>
    </row>
    <row r="343" spans="1:12" x14ac:dyDescent="0.4">
      <c r="A343">
        <v>331</v>
      </c>
      <c r="B343">
        <f t="shared" si="49"/>
        <v>7.7434869739479</v>
      </c>
      <c r="C343">
        <f t="shared" si="50"/>
        <v>34.190962985237235</v>
      </c>
      <c r="D343">
        <f t="shared" si="53"/>
        <v>12.760938364800527</v>
      </c>
      <c r="E343">
        <f t="shared" si="51"/>
        <v>0.2208836340696235</v>
      </c>
      <c r="F343">
        <f t="shared" si="52"/>
        <v>63.341058728409749</v>
      </c>
      <c r="G343">
        <f t="shared" si="45"/>
        <v>25.290060181804613</v>
      </c>
      <c r="H343">
        <f t="shared" si="46"/>
        <v>75.846185663887283</v>
      </c>
      <c r="J343">
        <f t="shared" si="47"/>
        <v>0.77434869739478995</v>
      </c>
      <c r="K343">
        <f t="shared" si="48"/>
        <v>3.4190962985237237</v>
      </c>
      <c r="L343">
        <v>0</v>
      </c>
    </row>
    <row r="344" spans="1:12" x14ac:dyDescent="0.4">
      <c r="A344">
        <v>332</v>
      </c>
      <c r="B344">
        <f t="shared" si="49"/>
        <v>7.6973947895791603</v>
      </c>
      <c r="C344">
        <f t="shared" si="50"/>
        <v>34.169185091583543</v>
      </c>
      <c r="D344">
        <f t="shared" si="53"/>
        <v>12.695270592337559</v>
      </c>
      <c r="E344">
        <f t="shared" si="51"/>
        <v>0.21976567933872321</v>
      </c>
      <c r="F344">
        <f t="shared" si="52"/>
        <v>63.110807650817492</v>
      </c>
      <c r="G344">
        <f t="shared" si="45"/>
        <v>25.207768529239967</v>
      </c>
      <c r="H344">
        <f t="shared" si="46"/>
        <v>75.080036621126965</v>
      </c>
      <c r="J344">
        <f t="shared" si="47"/>
        <v>0.76973947895791606</v>
      </c>
      <c r="K344">
        <f t="shared" si="48"/>
        <v>3.4169185091583545</v>
      </c>
      <c r="L344">
        <v>0</v>
      </c>
    </row>
    <row r="345" spans="1:12" x14ac:dyDescent="0.4">
      <c r="A345">
        <v>333</v>
      </c>
      <c r="B345">
        <f t="shared" si="49"/>
        <v>7.6513026052104198</v>
      </c>
      <c r="C345">
        <f t="shared" si="50"/>
        <v>34.147488122189849</v>
      </c>
      <c r="D345">
        <f t="shared" si="53"/>
        <v>12.629456097472509</v>
      </c>
      <c r="E345">
        <f t="shared" si="51"/>
        <v>0.21864493709753224</v>
      </c>
      <c r="F345">
        <f t="shared" si="52"/>
        <v>62.879048740615744</v>
      </c>
      <c r="G345">
        <f t="shared" si="45"/>
        <v>25.124796321571615</v>
      </c>
      <c r="H345">
        <f t="shared" si="46"/>
        <v>74.321217865718168</v>
      </c>
      <c r="J345">
        <f t="shared" si="47"/>
        <v>0.76513026052104194</v>
      </c>
      <c r="K345">
        <f t="shared" si="48"/>
        <v>3.4147488122189849</v>
      </c>
      <c r="L345">
        <v>0</v>
      </c>
    </row>
    <row r="346" spans="1:12" x14ac:dyDescent="0.4">
      <c r="A346">
        <v>334</v>
      </c>
      <c r="B346">
        <f t="shared" si="49"/>
        <v>7.6052104208416802</v>
      </c>
      <c r="C346">
        <f t="shared" si="50"/>
        <v>34.125872635593758</v>
      </c>
      <c r="D346">
        <f t="shared" si="53"/>
        <v>12.56349490719035</v>
      </c>
      <c r="E346">
        <f t="shared" si="51"/>
        <v>0.21752140735014702</v>
      </c>
      <c r="F346">
        <f t="shared" si="52"/>
        <v>62.645775442308107</v>
      </c>
      <c r="G346">
        <f t="shared" si="45"/>
        <v>25.04114026755888</v>
      </c>
      <c r="H346">
        <f t="shared" si="46"/>
        <v>73.569627665100768</v>
      </c>
      <c r="J346">
        <f t="shared" si="47"/>
        <v>0.76052104208416804</v>
      </c>
      <c r="K346">
        <f t="shared" si="48"/>
        <v>3.4125872635593759</v>
      </c>
      <c r="L346">
        <v>0</v>
      </c>
    </row>
    <row r="347" spans="1:12" x14ac:dyDescent="0.4">
      <c r="A347">
        <v>335</v>
      </c>
      <c r="B347">
        <f t="shared" si="49"/>
        <v>7.5591182364729503</v>
      </c>
      <c r="C347">
        <f t="shared" si="50"/>
        <v>34.104339191398118</v>
      </c>
      <c r="D347">
        <f t="shared" si="53"/>
        <v>12.497387056019136</v>
      </c>
      <c r="E347">
        <f t="shared" si="51"/>
        <v>0.21639509024557571</v>
      </c>
      <c r="F347">
        <f t="shared" si="52"/>
        <v>62.410981214056804</v>
      </c>
      <c r="G347">
        <f t="shared" si="45"/>
        <v>24.956797079018834</v>
      </c>
      <c r="H347">
        <f t="shared" si="46"/>
        <v>72.825165804229385</v>
      </c>
      <c r="J347">
        <f t="shared" si="47"/>
        <v>0.75591182364729503</v>
      </c>
      <c r="K347">
        <f t="shared" si="48"/>
        <v>3.4104339191398116</v>
      </c>
      <c r="L347">
        <v>0</v>
      </c>
    </row>
    <row r="348" spans="1:12" x14ac:dyDescent="0.4">
      <c r="A348">
        <v>336</v>
      </c>
      <c r="B348">
        <f t="shared" si="49"/>
        <v>7.5130260521042098</v>
      </c>
      <c r="C348">
        <f t="shared" si="50"/>
        <v>34.08288835025364</v>
      </c>
      <c r="D348">
        <f t="shared" si="53"/>
        <v>12.431132586109253</v>
      </c>
      <c r="E348">
        <f t="shared" si="51"/>
        <v>0.2152659860793667</v>
      </c>
      <c r="F348">
        <f t="shared" si="52"/>
        <v>62.174659528548702</v>
      </c>
      <c r="G348">
        <f t="shared" si="45"/>
        <v>24.871763471219722</v>
      </c>
      <c r="H348">
        <f t="shared" si="46"/>
        <v>72.087733556922046</v>
      </c>
      <c r="J348">
        <f t="shared" si="47"/>
        <v>0.75130260521042103</v>
      </c>
      <c r="K348">
        <f t="shared" si="48"/>
        <v>3.4082888350253642</v>
      </c>
      <c r="L348">
        <v>0</v>
      </c>
    </row>
    <row r="349" spans="1:12" x14ac:dyDescent="0.4">
      <c r="A349">
        <v>337</v>
      </c>
      <c r="B349">
        <f t="shared" si="49"/>
        <v>7.4669338677354702</v>
      </c>
      <c r="C349">
        <f t="shared" si="50"/>
        <v>34.061520673841379</v>
      </c>
      <c r="D349">
        <f t="shared" si="53"/>
        <v>12.364731547312745</v>
      </c>
      <c r="E349">
        <f t="shared" si="51"/>
        <v>0.21413409529523914</v>
      </c>
      <c r="F349">
        <f t="shared" si="52"/>
        <v>61.936803873872762</v>
      </c>
      <c r="G349">
        <f t="shared" si="45"/>
        <v>24.786036163280009</v>
      </c>
      <c r="H349">
        <f t="shared" si="46"/>
        <v>71.357233657802567</v>
      </c>
      <c r="J349">
        <f t="shared" si="47"/>
        <v>0.74669338677354702</v>
      </c>
      <c r="K349">
        <f t="shared" si="48"/>
        <v>3.4061520673841379</v>
      </c>
      <c r="L349">
        <v>0</v>
      </c>
    </row>
    <row r="350" spans="1:12" x14ac:dyDescent="0.4">
      <c r="A350">
        <v>338</v>
      </c>
      <c r="B350">
        <f t="shared" si="49"/>
        <v>7.4208416833667297</v>
      </c>
      <c r="C350">
        <f t="shared" si="50"/>
        <v>34.040236724855134</v>
      </c>
      <c r="D350">
        <f t="shared" si="53"/>
        <v>12.298183997262306</v>
      </c>
      <c r="E350">
        <f t="shared" si="51"/>
        <v>0.21299941848670884</v>
      </c>
      <c r="F350">
        <f t="shared" si="52"/>
        <v>61.697407754407322</v>
      </c>
      <c r="G350">
        <f t="shared" si="45"/>
        <v>24.699611878572508</v>
      </c>
      <c r="H350">
        <f t="shared" si="46"/>
        <v>70.633570274817117</v>
      </c>
      <c r="J350">
        <f t="shared" si="47"/>
        <v>0.74208416833667301</v>
      </c>
      <c r="K350">
        <f t="shared" si="48"/>
        <v>3.4040236724855135</v>
      </c>
      <c r="L350">
        <v>0</v>
      </c>
    </row>
    <row r="351" spans="1:12" x14ac:dyDescent="0.4">
      <c r="A351">
        <v>339</v>
      </c>
      <c r="B351">
        <f t="shared" si="49"/>
        <v>7.3747494989979998</v>
      </c>
      <c r="C351">
        <f t="shared" si="50"/>
        <v>34.019037066983778</v>
      </c>
      <c r="D351">
        <f t="shared" si="53"/>
        <v>12.231490001450279</v>
      </c>
      <c r="E351">
        <f t="shared" si="51"/>
        <v>0.21186195639871425</v>
      </c>
      <c r="F351">
        <f t="shared" si="52"/>
        <v>61.456464691718594</v>
      </c>
      <c r="G351">
        <f t="shared" si="45"/>
        <v>24.612487345134156</v>
      </c>
      <c r="H351">
        <f t="shared" si="46"/>
        <v>69.916648982315962</v>
      </c>
      <c r="J351">
        <f t="shared" si="47"/>
        <v>0.7374749498998</v>
      </c>
      <c r="K351">
        <f t="shared" si="48"/>
        <v>3.4019037066983779</v>
      </c>
      <c r="L351">
        <v>0</v>
      </c>
    </row>
    <row r="352" spans="1:12" x14ac:dyDescent="0.4">
      <c r="A352">
        <v>340</v>
      </c>
      <c r="B352">
        <f t="shared" si="49"/>
        <v>7.3286573146292602</v>
      </c>
      <c r="C352">
        <f t="shared" si="50"/>
        <v>33.99792226489344</v>
      </c>
      <c r="D352">
        <f t="shared" si="53"/>
        <v>12.164649633307357</v>
      </c>
      <c r="E352">
        <f t="shared" si="51"/>
        <v>0.21072170992923853</v>
      </c>
      <c r="F352">
        <f t="shared" si="52"/>
        <v>61.213968225469202</v>
      </c>
      <c r="G352">
        <f t="shared" si="45"/>
        <v>24.524659296080923</v>
      </c>
      <c r="H352">
        <f t="shared" si="46"/>
        <v>69.206376734682266</v>
      </c>
      <c r="J352">
        <f t="shared" si="47"/>
        <v>0.732865731462926</v>
      </c>
      <c r="K352">
        <f t="shared" si="48"/>
        <v>3.3997922264893439</v>
      </c>
      <c r="L352">
        <v>0</v>
      </c>
    </row>
    <row r="353" spans="1:12" x14ac:dyDescent="0.4">
      <c r="A353">
        <v>341</v>
      </c>
      <c r="B353">
        <f t="shared" si="49"/>
        <v>7.2825651302605197</v>
      </c>
      <c r="C353">
        <f t="shared" si="50"/>
        <v>33.976892884209668</v>
      </c>
      <c r="D353">
        <f t="shared" si="53"/>
        <v>12.097662974281285</v>
      </c>
      <c r="E353">
        <f t="shared" si="51"/>
        <v>0.20957868013093159</v>
      </c>
      <c r="F353">
        <f t="shared" si="52"/>
        <v>60.969911914338027</v>
      </c>
      <c r="G353">
        <f t="shared" si="45"/>
        <v>24.436124470028371</v>
      </c>
      <c r="H353">
        <f t="shared" si="46"/>
        <v>68.502661840498959</v>
      </c>
      <c r="J353">
        <f t="shared" si="47"/>
        <v>0.72825651302605199</v>
      </c>
      <c r="K353">
        <f t="shared" si="48"/>
        <v>3.3976892884209668</v>
      </c>
      <c r="L353">
        <v>0</v>
      </c>
    </row>
    <row r="354" spans="1:12" x14ac:dyDescent="0.4">
      <c r="A354">
        <v>342</v>
      </c>
      <c r="B354">
        <f t="shared" si="49"/>
        <v>7.23647294589178</v>
      </c>
      <c r="C354">
        <f t="shared" si="50"/>
        <v>33.955949491499474</v>
      </c>
      <c r="D354">
        <f t="shared" si="53"/>
        <v>12.030530113915182</v>
      </c>
      <c r="E354">
        <f t="shared" si="51"/>
        <v>0.20843286821272644</v>
      </c>
      <c r="F354">
        <f t="shared" si="52"/>
        <v>60.724289336949894</v>
      </c>
      <c r="G354">
        <f t="shared" si="45"/>
        <v>24.346879611517355</v>
      </c>
      <c r="H354">
        <f t="shared" si="46"/>
        <v>67.80541393723604</v>
      </c>
      <c r="J354">
        <f t="shared" si="47"/>
        <v>0.72364729458917798</v>
      </c>
      <c r="K354">
        <f t="shared" si="48"/>
        <v>3.3955949491499475</v>
      </c>
      <c r="L354">
        <v>0</v>
      </c>
    </row>
    <row r="355" spans="1:12" x14ac:dyDescent="0.4">
      <c r="A355">
        <v>343</v>
      </c>
      <c r="B355">
        <f t="shared" si="49"/>
        <v>7.1903807615230502</v>
      </c>
      <c r="C355">
        <f t="shared" si="50"/>
        <v>33.935092654253317</v>
      </c>
      <c r="D355">
        <f t="shared" si="53"/>
        <v>11.963251149925766</v>
      </c>
      <c r="E355">
        <f t="shared" si="51"/>
        <v>0.20728427554145393</v>
      </c>
      <c r="F355">
        <f t="shared" si="52"/>
        <v>60.477094092816131</v>
      </c>
      <c r="G355">
        <f t="shared" si="45"/>
        <v>24.256921471445182</v>
      </c>
      <c r="H355">
        <f t="shared" si="46"/>
        <v>67.114543966448949</v>
      </c>
      <c r="J355">
        <f t="shared" si="47"/>
        <v>0.71903807615230497</v>
      </c>
      <c r="K355">
        <f t="shared" si="48"/>
        <v>3.3935092654253318</v>
      </c>
      <c r="L355">
        <v>0</v>
      </c>
    </row>
    <row r="356" spans="1:12" x14ac:dyDescent="0.4">
      <c r="A356">
        <v>344</v>
      </c>
      <c r="B356">
        <f t="shared" si="49"/>
        <v>7.1442885771543096</v>
      </c>
      <c r="C356">
        <f t="shared" si="50"/>
        <v>33.914322940867009</v>
      </c>
      <c r="D356">
        <f t="shared" si="53"/>
        <v>11.895826188281221</v>
      </c>
      <c r="E356">
        <f t="shared" si="51"/>
        <v>0.20613290364345171</v>
      </c>
      <c r="F356">
        <f t="shared" si="52"/>
        <v>60.228319803285203</v>
      </c>
      <c r="G356">
        <f t="shared" si="45"/>
        <v>24.166246807501992</v>
      </c>
      <c r="H356">
        <f t="shared" si="46"/>
        <v>66.429964149473392</v>
      </c>
      <c r="J356">
        <f t="shared" si="47"/>
        <v>0.71442885771543096</v>
      </c>
      <c r="K356">
        <f t="shared" si="48"/>
        <v>3.3914322940867008</v>
      </c>
      <c r="L356">
        <v>0</v>
      </c>
    </row>
    <row r="357" spans="1:12" x14ac:dyDescent="0.4">
      <c r="A357">
        <v>345</v>
      </c>
      <c r="B357">
        <f t="shared" si="49"/>
        <v>7.09819639278557</v>
      </c>
      <c r="C357">
        <f t="shared" si="50"/>
        <v>33.893640920623582</v>
      </c>
      <c r="D357">
        <f t="shared" si="53"/>
        <v>11.828255343278983</v>
      </c>
      <c r="E357">
        <f t="shared" si="51"/>
        <v>0.20497875420617204</v>
      </c>
      <c r="F357">
        <f t="shared" si="52"/>
        <v>59.977960112504292</v>
      </c>
      <c r="G357">
        <f t="shared" si="45"/>
        <v>24.074852384612655</v>
      </c>
      <c r="H357">
        <f t="shared" si="46"/>
        <v>65.751587963606823</v>
      </c>
      <c r="J357">
        <f t="shared" si="47"/>
        <v>0.70981963927855696</v>
      </c>
      <c r="K357">
        <f t="shared" si="48"/>
        <v>3.3893640920623582</v>
      </c>
      <c r="L357">
        <v>0</v>
      </c>
    </row>
    <row r="358" spans="1:12" x14ac:dyDescent="0.4">
      <c r="A358">
        <v>346</v>
      </c>
      <c r="B358">
        <f t="shared" si="49"/>
        <v>7.0521042084168304</v>
      </c>
      <c r="C358">
        <f t="shared" si="50"/>
        <v>33.873047163675054</v>
      </c>
      <c r="D358">
        <f t="shared" si="53"/>
        <v>11.760538737623076</v>
      </c>
      <c r="E358">
        <f t="shared" si="51"/>
        <v>0.20382182907978186</v>
      </c>
      <c r="F358">
        <f t="shared" si="52"/>
        <v>59.726008688390735</v>
      </c>
      <c r="G358">
        <f t="shared" si="45"/>
        <v>23.982734975383828</v>
      </c>
      <c r="H358">
        <f t="shared" si="46"/>
        <v>65.079330118762371</v>
      </c>
      <c r="J358">
        <f t="shared" si="47"/>
        <v>0.70521042084168306</v>
      </c>
      <c r="K358">
        <f t="shared" si="48"/>
        <v>3.3873047163675052</v>
      </c>
      <c r="L358">
        <v>0</v>
      </c>
    </row>
    <row r="359" spans="1:12" x14ac:dyDescent="0.4">
      <c r="A359">
        <v>347</v>
      </c>
      <c r="B359">
        <f t="shared" si="49"/>
        <v>7.0060120240480996</v>
      </c>
      <c r="C359">
        <f t="shared" si="50"/>
        <v>33.852542241024196</v>
      </c>
      <c r="D359">
        <f t="shared" si="53"/>
        <v>11.692676502501255</v>
      </c>
      <c r="E359">
        <f t="shared" si="51"/>
        <v>0.20266213027875968</v>
      </c>
      <c r="F359">
        <f t="shared" si="52"/>
        <v>59.472459223613882</v>
      </c>
      <c r="G359">
        <f t="shared" si="45"/>
        <v>23.889891360556312</v>
      </c>
      <c r="H359">
        <f t="shared" si="46"/>
        <v>64.413106534585069</v>
      </c>
      <c r="J359">
        <f t="shared" si="47"/>
        <v>0.70060120240480994</v>
      </c>
      <c r="K359">
        <f t="shared" si="48"/>
        <v>3.3852542241024195</v>
      </c>
      <c r="L359">
        <v>0</v>
      </c>
    </row>
    <row r="360" spans="1:12" x14ac:dyDescent="0.4">
      <c r="A360">
        <v>348</v>
      </c>
      <c r="B360">
        <f t="shared" si="49"/>
        <v>6.95991983967936</v>
      </c>
      <c r="C360">
        <f t="shared" si="50"/>
        <v>33.832126724506224</v>
      </c>
      <c r="D360">
        <f t="shared" si="53"/>
        <v>11.624668777661739</v>
      </c>
      <c r="E360">
        <f t="shared" si="51"/>
        <v>0.20149965998348518</v>
      </c>
      <c r="F360">
        <f t="shared" si="52"/>
        <v>59.21730543658704</v>
      </c>
      <c r="G360">
        <f t="shared" si="45"/>
        <v>23.79631832946265</v>
      </c>
      <c r="H360">
        <f t="shared" si="46"/>
        <v>63.752834318018678</v>
      </c>
      <c r="J360">
        <f t="shared" si="47"/>
        <v>0.69599198396793605</v>
      </c>
      <c r="K360">
        <f t="shared" si="48"/>
        <v>3.3832126724506226</v>
      </c>
      <c r="L360">
        <v>0</v>
      </c>
    </row>
    <row r="361" spans="1:12" x14ac:dyDescent="0.4">
      <c r="A361">
        <v>349</v>
      </c>
      <c r="B361">
        <f t="shared" si="49"/>
        <v>6.9138276553106204</v>
      </c>
      <c r="C361">
        <f t="shared" si="50"/>
        <v>33.811801186770445</v>
      </c>
      <c r="D361">
        <f t="shared" si="53"/>
        <v>11.556515711489755</v>
      </c>
      <c r="E361">
        <f t="shared" si="51"/>
        <v>0.20033442054182582</v>
      </c>
      <c r="F361">
        <f t="shared" si="52"/>
        <v>58.960541072470036</v>
      </c>
      <c r="G361">
        <f t="shared" si="45"/>
        <v>23.702012680490142</v>
      </c>
      <c r="H361">
        <f t="shared" si="46"/>
        <v>63.098431741313412</v>
      </c>
      <c r="J361">
        <f t="shared" si="47"/>
        <v>0.69138276553106204</v>
      </c>
      <c r="K361">
        <f t="shared" si="48"/>
        <v>3.3811801186770447</v>
      </c>
      <c r="L361">
        <v>0</v>
      </c>
    </row>
    <row r="362" spans="1:12" x14ac:dyDescent="0.4">
      <c r="A362">
        <v>350</v>
      </c>
      <c r="B362">
        <f t="shared" si="49"/>
        <v>6.8677354709418799</v>
      </c>
      <c r="C362">
        <f t="shared" si="50"/>
        <v>33.791566201261901</v>
      </c>
      <c r="D362">
        <f t="shared" si="53"/>
        <v>11.488217461083561</v>
      </c>
      <c r="E362">
        <f t="shared" si="51"/>
        <v>0.19916641447071373</v>
      </c>
      <c r="F362">
        <f t="shared" si="52"/>
        <v>58.702159904181215</v>
      </c>
      <c r="G362">
        <f t="shared" si="45"/>
        <v>23.606971221548825</v>
      </c>
      <c r="H362">
        <f t="shared" si="46"/>
        <v>62.449818220461488</v>
      </c>
      <c r="J362">
        <f t="shared" si="47"/>
        <v>0.68677354709418803</v>
      </c>
      <c r="K362">
        <f t="shared" si="48"/>
        <v>3.37915662012619</v>
      </c>
      <c r="L362">
        <v>0</v>
      </c>
    </row>
    <row r="363" spans="1:12" x14ac:dyDescent="0.4">
      <c r="A363">
        <v>351</v>
      </c>
      <c r="B363">
        <f t="shared" si="49"/>
        <v>6.82164328657315</v>
      </c>
      <c r="C363">
        <f t="shared" si="50"/>
        <v>33.771422342202939</v>
      </c>
      <c r="D363">
        <f t="shared" si="53"/>
        <v>11.419774192330223</v>
      </c>
      <c r="E363">
        <f t="shared" si="51"/>
        <v>0.19799564445771864</v>
      </c>
      <c r="F363">
        <f t="shared" si="52"/>
        <v>58.442155733420037</v>
      </c>
      <c r="G363">
        <f t="shared" si="45"/>
        <v>23.511190770544907</v>
      </c>
      <c r="H363">
        <f t="shared" si="46"/>
        <v>61.806914294052945</v>
      </c>
      <c r="J363">
        <f t="shared" si="47"/>
        <v>0.68216432865731502</v>
      </c>
      <c r="K363">
        <f t="shared" si="48"/>
        <v>3.3771422342202939</v>
      </c>
      <c r="L363">
        <v>0</v>
      </c>
    </row>
    <row r="364" spans="1:12" x14ac:dyDescent="0.4">
      <c r="A364">
        <v>352</v>
      </c>
      <c r="B364">
        <f t="shared" si="49"/>
        <v>6.7755511022044104</v>
      </c>
      <c r="C364">
        <f t="shared" si="50"/>
        <v>33.751370184574817</v>
      </c>
      <c r="D364">
        <f t="shared" si="53"/>
        <v>11.351186079980847</v>
      </c>
      <c r="E364">
        <f t="shared" si="51"/>
        <v>0.19682211336261046</v>
      </c>
      <c r="F364">
        <f t="shared" si="52"/>
        <v>58.18052239169883</v>
      </c>
      <c r="G364">
        <f t="shared" si="45"/>
        <v>23.41466815585899</v>
      </c>
      <c r="H364">
        <f t="shared" si="46"/>
        <v>61.169641602538256</v>
      </c>
      <c r="J364">
        <f t="shared" si="47"/>
        <v>0.67755511022044101</v>
      </c>
      <c r="K364">
        <f t="shared" si="48"/>
        <v>3.3751370184574818</v>
      </c>
      <c r="L364">
        <v>0</v>
      </c>
    </row>
    <row r="365" spans="1:12" x14ac:dyDescent="0.4">
      <c r="A365">
        <v>353</v>
      </c>
      <c r="B365">
        <f t="shared" si="49"/>
        <v>6.7294589178356699</v>
      </c>
      <c r="C365">
        <f t="shared" si="50"/>
        <v>33.731410304099242</v>
      </c>
      <c r="D365">
        <f t="shared" si="53"/>
        <v>11.282453307725579</v>
      </c>
      <c r="E365">
        <f t="shared" si="51"/>
        <v>0.19564582421891794</v>
      </c>
      <c r="F365">
        <f t="shared" si="52"/>
        <v>57.91725374138548</v>
      </c>
      <c r="G365">
        <f t="shared" si="45"/>
        <v>23.317400216829952</v>
      </c>
      <c r="H365">
        <f t="shared" si="46"/>
        <v>60.53792286789232</v>
      </c>
      <c r="J365">
        <f t="shared" si="47"/>
        <v>0.67294589178356701</v>
      </c>
      <c r="K365">
        <f t="shared" si="48"/>
        <v>3.3731410304099243</v>
      </c>
      <c r="L365">
        <v>0</v>
      </c>
    </row>
    <row r="366" spans="1:12" x14ac:dyDescent="0.4">
      <c r="A366">
        <v>354</v>
      </c>
      <c r="B366">
        <f t="shared" si="49"/>
        <v>6.6833667334669302</v>
      </c>
      <c r="C366">
        <f t="shared" si="50"/>
        <v>33.711543277219931</v>
      </c>
      <c r="D366">
        <f t="shared" si="53"/>
        <v>11.213576068268011</v>
      </c>
      <c r="E366">
        <f t="shared" si="51"/>
        <v>0.19446678023547623</v>
      </c>
      <c r="F366">
        <f t="shared" si="52"/>
        <v>57.652343676754839</v>
      </c>
      <c r="G366">
        <f t="shared" si="45"/>
        <v>23.219383804243414</v>
      </c>
      <c r="H366">
        <f t="shared" si="46"/>
        <v>59.911681873665373</v>
      </c>
      <c r="J366">
        <f t="shared" si="47"/>
        <v>0.668336673346693</v>
      </c>
      <c r="K366">
        <f t="shared" si="48"/>
        <v>3.3711543277219933</v>
      </c>
      <c r="L366">
        <v>0</v>
      </c>
    </row>
    <row r="367" spans="1:12" x14ac:dyDescent="0.4">
      <c r="A367">
        <v>355</v>
      </c>
      <c r="B367">
        <f t="shared" si="49"/>
        <v>6.6372745490982004</v>
      </c>
      <c r="C367">
        <f t="shared" si="50"/>
        <v>33.691769681084168</v>
      </c>
      <c r="D367">
        <f t="shared" si="53"/>
        <v>11.144554563399209</v>
      </c>
      <c r="E367">
        <f t="shared" si="51"/>
        <v>0.19328498479796707</v>
      </c>
      <c r="F367">
        <f t="shared" si="52"/>
        <v>57.385786125050544</v>
      </c>
      <c r="G367">
        <f t="shared" si="45"/>
        <v>23.120615780825666</v>
      </c>
      <c r="H367">
        <f t="shared" si="46"/>
        <v>59.290843445415149</v>
      </c>
      <c r="J367">
        <f t="shared" si="47"/>
        <v>0.66372745490981999</v>
      </c>
      <c r="K367">
        <f t="shared" si="48"/>
        <v>3.3691769681084169</v>
      </c>
      <c r="L367">
        <v>0</v>
      </c>
    </row>
    <row r="368" spans="1:12" x14ac:dyDescent="0.4">
      <c r="A368">
        <v>356</v>
      </c>
      <c r="B368">
        <f t="shared" si="49"/>
        <v>6.5911823647294598</v>
      </c>
      <c r="C368">
        <f t="shared" si="50"/>
        <v>33.672090093524339</v>
      </c>
      <c r="D368">
        <f t="shared" si="53"/>
        <v>11.075389004071145</v>
      </c>
      <c r="E368">
        <f t="shared" si="51"/>
        <v>0.19210044147044875</v>
      </c>
      <c r="F368">
        <f t="shared" si="52"/>
        <v>57.117575047555576</v>
      </c>
      <c r="G368">
        <f t="shared" si="45"/>
        <v>23.021093021742217</v>
      </c>
      <c r="H368">
        <f t="shared" si="46"/>
        <v>58.675333431508029</v>
      </c>
      <c r="J368">
        <f t="shared" si="47"/>
        <v>0.65911823647294598</v>
      </c>
      <c r="K368">
        <f t="shared" si="48"/>
        <v>3.3672090093524338</v>
      </c>
      <c r="L368">
        <v>0</v>
      </c>
    </row>
    <row r="369" spans="1:12" x14ac:dyDescent="0.4">
      <c r="A369">
        <v>357</v>
      </c>
      <c r="B369">
        <f t="shared" si="49"/>
        <v>6.5450901803607202</v>
      </c>
      <c r="C369">
        <f t="shared" si="50"/>
        <v>33.652505093039537</v>
      </c>
      <c r="D369">
        <f t="shared" si="53"/>
        <v>11.006079610469833</v>
      </c>
      <c r="E369">
        <f t="shared" si="51"/>
        <v>0.19091315399687911</v>
      </c>
      <c r="F369">
        <f t="shared" si="52"/>
        <v>56.847704440673439</v>
      </c>
      <c r="G369">
        <f t="shared" si="45"/>
        <v>22.920812415101803</v>
      </c>
      <c r="H369">
        <f t="shared" si="46"/>
        <v>58.065078684283989</v>
      </c>
      <c r="J369">
        <f t="shared" si="47"/>
        <v>0.65450901803607198</v>
      </c>
      <c r="K369">
        <f t="shared" si="48"/>
        <v>3.3652505093039538</v>
      </c>
      <c r="L369">
        <v>0</v>
      </c>
    </row>
    <row r="370" spans="1:12" x14ac:dyDescent="0.4">
      <c r="A370">
        <v>358</v>
      </c>
      <c r="B370">
        <f t="shared" si="49"/>
        <v>6.4989979959919797</v>
      </c>
      <c r="C370">
        <f t="shared" si="50"/>
        <v>33.633015258777107</v>
      </c>
      <c r="D370">
        <f t="shared" si="53"/>
        <v>10.936626612087732</v>
      </c>
      <c r="E370">
        <f t="shared" si="51"/>
        <v>0.18972312630262578</v>
      </c>
      <c r="F370">
        <f t="shared" si="52"/>
        <v>56.576168337017691</v>
      </c>
      <c r="G370">
        <f t="shared" si="45"/>
        <v>22.819770862464978</v>
      </c>
      <c r="H370">
        <f t="shared" si="46"/>
        <v>57.460007041572524</v>
      </c>
      <c r="J370">
        <f t="shared" si="47"/>
        <v>0.64989979959919797</v>
      </c>
      <c r="K370">
        <f t="shared" si="48"/>
        <v>3.3633015258777106</v>
      </c>
      <c r="L370">
        <v>0</v>
      </c>
    </row>
    <row r="371" spans="1:12" x14ac:dyDescent="0.4">
      <c r="A371">
        <v>359</v>
      </c>
      <c r="B371">
        <f t="shared" si="49"/>
        <v>6.4529058116232498</v>
      </c>
      <c r="C371">
        <f t="shared" si="50"/>
        <v>33.613621170514278</v>
      </c>
      <c r="D371">
        <f t="shared" si="53"/>
        <v>10.86703024779572</v>
      </c>
      <c r="E371">
        <f t="shared" si="51"/>
        <v>0.18853036249596766</v>
      </c>
      <c r="F371">
        <f t="shared" si="52"/>
        <v>56.302960806511209</v>
      </c>
      <c r="G371">
        <f t="shared" si="45"/>
        <v>22.717965279357745</v>
      </c>
      <c r="H371">
        <f t="shared" si="46"/>
        <v>56.860047308553661</v>
      </c>
      <c r="J371">
        <f t="shared" si="47"/>
        <v>0.64529058116232496</v>
      </c>
      <c r="K371">
        <f t="shared" si="48"/>
        <v>3.3613621170514278</v>
      </c>
      <c r="L371">
        <v>0</v>
      </c>
    </row>
    <row r="372" spans="1:12" x14ac:dyDescent="0.4">
      <c r="A372">
        <v>360</v>
      </c>
      <c r="B372">
        <f t="shared" si="49"/>
        <v>6.4068136272545102</v>
      </c>
      <c r="C372">
        <f t="shared" si="50"/>
        <v>33.594323408639802</v>
      </c>
      <c r="D372">
        <f t="shared" si="53"/>
        <v>10.797290765914408</v>
      </c>
      <c r="E372">
        <f t="shared" si="51"/>
        <v>0.18733486686958389</v>
      </c>
      <c r="F372">
        <f t="shared" si="52"/>
        <v>56.028075957494352</v>
      </c>
      <c r="G372">
        <f t="shared" si="45"/>
        <v>22.61539259578997</v>
      </c>
      <c r="H372">
        <f t="shared" si="46"/>
        <v>56.265129239954476</v>
      </c>
      <c r="J372">
        <f t="shared" si="47"/>
        <v>0.64068136272545106</v>
      </c>
      <c r="K372">
        <f t="shared" si="48"/>
        <v>3.3594323408639801</v>
      </c>
      <c r="L372">
        <v>0</v>
      </c>
    </row>
    <row r="373" spans="1:12" x14ac:dyDescent="0.4">
      <c r="A373">
        <v>361</v>
      </c>
      <c r="B373">
        <f t="shared" si="49"/>
        <v>6.3607214428857697</v>
      </c>
      <c r="C373">
        <f t="shared" si="50"/>
        <v>33.575122554135646</v>
      </c>
      <c r="D373">
        <f t="shared" si="53"/>
        <v>10.727408424285006</v>
      </c>
      <c r="E373">
        <f t="shared" si="51"/>
        <v>0.18613664390203383</v>
      </c>
      <c r="F373">
        <f t="shared" si="52"/>
        <v>55.751507937842533</v>
      </c>
      <c r="G373">
        <f t="shared" si="45"/>
        <v>22.512049756778765</v>
      </c>
      <c r="H373">
        <f t="shared" si="46"/>
        <v>55.675183522574372</v>
      </c>
      <c r="J373">
        <f t="shared" si="47"/>
        <v>0.63607214428857695</v>
      </c>
      <c r="K373">
        <f t="shared" si="48"/>
        <v>3.3575122554135648</v>
      </c>
      <c r="L373">
        <v>0</v>
      </c>
    </row>
    <row r="374" spans="1:12" x14ac:dyDescent="0.4">
      <c r="A374">
        <v>362</v>
      </c>
      <c r="B374">
        <f t="shared" si="49"/>
        <v>6.3146292585170398</v>
      </c>
      <c r="C374">
        <f t="shared" si="50"/>
        <v>33.556019188558707</v>
      </c>
      <c r="D374">
        <f t="shared" si="53"/>
        <v>10.657383490339448</v>
      </c>
      <c r="E374">
        <f t="shared" si="51"/>
        <v>0.18493569825922332</v>
      </c>
      <c r="F374">
        <f t="shared" si="52"/>
        <v>55.473250936092384</v>
      </c>
      <c r="G374">
        <f t="shared" si="45"/>
        <v>22.407933722876468</v>
      </c>
      <c r="H374">
        <f t="shared" si="46"/>
        <v>55.090141758129178</v>
      </c>
      <c r="J374">
        <f t="shared" si="47"/>
        <v>0.63146292585170394</v>
      </c>
      <c r="K374">
        <f t="shared" si="48"/>
        <v>3.3556019188558706</v>
      </c>
      <c r="L374">
        <v>0</v>
      </c>
    </row>
    <row r="375" spans="1:12" x14ac:dyDescent="0.4">
      <c r="A375">
        <v>363</v>
      </c>
      <c r="B375">
        <f t="shared" si="49"/>
        <v>6.2685370741483002</v>
      </c>
      <c r="C375">
        <f t="shared" si="50"/>
        <v>33.537013894022593</v>
      </c>
      <c r="D375">
        <f t="shared" si="53"/>
        <v>10.587216241169878</v>
      </c>
      <c r="E375">
        <f t="shared" si="51"/>
        <v>0.18373203479585795</v>
      </c>
      <c r="F375">
        <f t="shared" si="52"/>
        <v>55.193299182576496</v>
      </c>
      <c r="G375">
        <f t="shared" si="45"/>
        <v>22.30304147070331</v>
      </c>
      <c r="H375">
        <f t="shared" si="46"/>
        <v>54.509936446407302</v>
      </c>
      <c r="J375">
        <f t="shared" si="47"/>
        <v>0.62685370741483004</v>
      </c>
      <c r="K375">
        <f t="shared" si="48"/>
        <v>3.3537013894022594</v>
      </c>
      <c r="L375">
        <v>0</v>
      </c>
    </row>
    <row r="376" spans="1:12" x14ac:dyDescent="0.4">
      <c r="A376">
        <v>364</v>
      </c>
      <c r="B376">
        <f t="shared" si="49"/>
        <v>6.2224448897795597</v>
      </c>
      <c r="C376">
        <f t="shared" si="50"/>
        <v>33.51810725317948</v>
      </c>
      <c r="D376">
        <f t="shared" si="53"/>
        <v>10.516906963597624</v>
      </c>
      <c r="E376">
        <f t="shared" si="51"/>
        <v>0.18252565855688632</v>
      </c>
      <c r="F376">
        <f t="shared" si="52"/>
        <v>54.911646950567459</v>
      </c>
      <c r="G376">
        <f t="shared" si="45"/>
        <v>22.197369993484919</v>
      </c>
      <c r="H376">
        <f t="shared" si="46"/>
        <v>53.934500968731356</v>
      </c>
      <c r="J376">
        <f t="shared" si="47"/>
        <v>0.62224448897795592</v>
      </c>
      <c r="K376">
        <f t="shared" si="48"/>
        <v>3.3518107253179479</v>
      </c>
      <c r="L376">
        <v>0</v>
      </c>
    </row>
    <row r="377" spans="1:12" x14ac:dyDescent="0.4">
      <c r="A377">
        <v>365</v>
      </c>
      <c r="B377">
        <f t="shared" si="49"/>
        <v>6.17635270541082</v>
      </c>
      <c r="C377">
        <f t="shared" si="50"/>
        <v>33.499299849202011</v>
      </c>
      <c r="D377">
        <f t="shared" si="53"/>
        <v>10.446455954241339</v>
      </c>
      <c r="E377">
        <f t="shared" si="51"/>
        <v>0.18131657477892743</v>
      </c>
      <c r="F377">
        <f t="shared" si="52"/>
        <v>54.628288557429798</v>
      </c>
      <c r="G377">
        <f t="shared" si="45"/>
        <v>22.09091630159423</v>
      </c>
      <c r="H377">
        <f t="shared" si="46"/>
        <v>53.363769571715643</v>
      </c>
      <c r="J377">
        <f t="shared" si="47"/>
        <v>0.61763527054108203</v>
      </c>
      <c r="K377">
        <f t="shared" si="48"/>
        <v>3.3499299849202009</v>
      </c>
      <c r="L377">
        <v>0</v>
      </c>
    </row>
    <row r="378" spans="1:12" x14ac:dyDescent="0.4">
      <c r="A378">
        <v>366</v>
      </c>
      <c r="B378">
        <f t="shared" si="49"/>
        <v>6.1302605210420804</v>
      </c>
      <c r="C378">
        <f t="shared" si="50"/>
        <v>33.480592265765289</v>
      </c>
      <c r="D378">
        <f t="shared" si="53"/>
        <v>10.375863519584508</v>
      </c>
      <c r="E378">
        <f t="shared" si="51"/>
        <v>0.18010478889168482</v>
      </c>
      <c r="F378">
        <f t="shared" si="52"/>
        <v>54.343218365780501</v>
      </c>
      <c r="G378">
        <f t="shared" si="45"/>
        <v>21.983677423097998</v>
      </c>
      <c r="H378">
        <f t="shared" si="46"/>
        <v>52.797677351313943</v>
      </c>
      <c r="J378">
        <f t="shared" si="47"/>
        <v>0.61302605210420802</v>
      </c>
      <c r="K378">
        <f t="shared" si="48"/>
        <v>3.3480592265765288</v>
      </c>
      <c r="L378">
        <v>0</v>
      </c>
    </row>
    <row r="379" spans="1:12" x14ac:dyDescent="0.4">
      <c r="A379">
        <v>367</v>
      </c>
      <c r="B379">
        <f t="shared" si="49"/>
        <v>6.0841683366733497</v>
      </c>
      <c r="C379">
        <f t="shared" si="50"/>
        <v>33.461985087028935</v>
      </c>
      <c r="D379">
        <f t="shared" si="53"/>
        <v>10.305129976042254</v>
      </c>
      <c r="E379">
        <f t="shared" si="51"/>
        <v>0.17889030651934745</v>
      </c>
      <c r="F379">
        <f t="shared" si="52"/>
        <v>54.056430784657834</v>
      </c>
      <c r="G379">
        <f t="shared" si="45"/>
        <v>21.875650404307791</v>
      </c>
      <c r="H379">
        <f t="shared" si="46"/>
        <v>52.236160237149839</v>
      </c>
      <c r="J379">
        <f t="shared" si="47"/>
        <v>0.60841683366733501</v>
      </c>
      <c r="K379">
        <f t="shared" si="48"/>
        <v>3.3461985087028934</v>
      </c>
      <c r="L379">
        <v>0</v>
      </c>
    </row>
    <row r="380" spans="1:12" x14ac:dyDescent="0.4">
      <c r="A380">
        <v>368</v>
      </c>
      <c r="B380">
        <f t="shared" si="49"/>
        <v>6.03807615230461</v>
      </c>
      <c r="C380">
        <f t="shared" si="50"/>
        <v>33.443478897619265</v>
      </c>
      <c r="D380">
        <f t="shared" si="53"/>
        <v>10.234255650027311</v>
      </c>
      <c r="E380">
        <f t="shared" si="51"/>
        <v>0.17767313348197386</v>
      </c>
      <c r="F380">
        <f t="shared" si="52"/>
        <v>53.767920270697971</v>
      </c>
      <c r="G380">
        <f t="shared" si="45"/>
        <v>21.766832310335332</v>
      </c>
      <c r="H380">
        <f t="shared" si="46"/>
        <v>51.67915497712243</v>
      </c>
      <c r="J380">
        <f t="shared" si="47"/>
        <v>0.603807615230461</v>
      </c>
      <c r="K380">
        <f t="shared" si="48"/>
        <v>3.3443478897619263</v>
      </c>
      <c r="L380">
        <v>0</v>
      </c>
    </row>
    <row r="381" spans="1:12" x14ac:dyDescent="0.4">
      <c r="A381">
        <v>369</v>
      </c>
      <c r="B381">
        <f t="shared" si="49"/>
        <v>5.9919839679358704</v>
      </c>
      <c r="C381">
        <f t="shared" si="50"/>
        <v>33.42507428261154</v>
      </c>
      <c r="D381">
        <f t="shared" si="53"/>
        <v>10.163240878015374</v>
      </c>
      <c r="E381">
        <f t="shared" si="51"/>
        <v>0.17645327579686376</v>
      </c>
      <c r="F381">
        <f t="shared" si="52"/>
        <v>53.47768132931995</v>
      </c>
      <c r="G381">
        <f t="shared" si="45"/>
        <v>21.657220225652289</v>
      </c>
      <c r="H381">
        <f t="shared" si="46"/>
        <v>51.12659912228159</v>
      </c>
      <c r="J381">
        <f t="shared" si="47"/>
        <v>0.599198396793587</v>
      </c>
      <c r="K381">
        <f t="shared" si="48"/>
        <v>3.342507428261154</v>
      </c>
      <c r="L381">
        <v>0</v>
      </c>
    </row>
    <row r="382" spans="1:12" x14ac:dyDescent="0.4">
      <c r="A382">
        <v>370</v>
      </c>
      <c r="B382">
        <f t="shared" si="49"/>
        <v>5.9458917835671397</v>
      </c>
      <c r="C382">
        <f t="shared" si="50"/>
        <v>33.40677182751233</v>
      </c>
      <c r="D382">
        <f t="shared" si="53"/>
        <v>10.09208600660955</v>
      </c>
      <c r="E382">
        <f t="shared" si="51"/>
        <v>0.17523073967991157</v>
      </c>
      <c r="F382">
        <f t="shared" si="52"/>
        <v>53.185708515918037</v>
      </c>
      <c r="G382">
        <f t="shared" si="45"/>
        <v>21.546811254654244</v>
      </c>
      <c r="H382">
        <f t="shared" si="46"/>
        <v>50.578431011964803</v>
      </c>
      <c r="J382">
        <f t="shared" si="47"/>
        <v>0.59458917835671399</v>
      </c>
      <c r="K382">
        <f t="shared" si="48"/>
        <v>3.3406771827512332</v>
      </c>
      <c r="L382">
        <v>0</v>
      </c>
    </row>
    <row r="383" spans="1:12" x14ac:dyDescent="0.4">
      <c r="A383">
        <v>371</v>
      </c>
      <c r="B383">
        <f t="shared" si="49"/>
        <v>5.8997995991984</v>
      </c>
      <c r="C383">
        <f t="shared" si="50"/>
        <v>33.388572118241989</v>
      </c>
      <c r="D383">
        <f t="shared" si="53"/>
        <v>10.020791392603975</v>
      </c>
      <c r="E383">
        <f t="shared" si="51"/>
        <v>0.1740055315469439</v>
      </c>
      <c r="F383">
        <f t="shared" si="52"/>
        <v>52.891996437061607</v>
      </c>
      <c r="G383">
        <f t="shared" si="45"/>
        <v>21.435602522228816</v>
      </c>
      <c r="H383">
        <f t="shared" si="46"/>
        <v>50.034589759189622</v>
      </c>
      <c r="J383">
        <f t="shared" si="47"/>
        <v>0.58997995991983998</v>
      </c>
      <c r="K383">
        <f t="shared" si="48"/>
        <v>3.338857211824199</v>
      </c>
      <c r="L383">
        <v>0</v>
      </c>
    </row>
    <row r="384" spans="1:12" x14ac:dyDescent="0.4">
      <c r="A384">
        <v>372</v>
      </c>
      <c r="B384">
        <f t="shared" si="49"/>
        <v>5.8537074148296604</v>
      </c>
      <c r="C384">
        <f t="shared" si="50"/>
        <v>33.370475741117261</v>
      </c>
      <c r="D384">
        <f t="shared" si="53"/>
        <v>9.9493574030467506</v>
      </c>
      <c r="E384">
        <f t="shared" si="51"/>
        <v>0.17277765801504227</v>
      </c>
      <c r="F384">
        <f t="shared" si="52"/>
        <v>52.596539751702963</v>
      </c>
      <c r="G384">
        <f t="shared" si="45"/>
        <v>21.323591174328108</v>
      </c>
      <c r="H384">
        <f t="shared" si="46"/>
        <v>49.495015236296354</v>
      </c>
      <c r="J384">
        <f t="shared" si="47"/>
        <v>0.58537074148296608</v>
      </c>
      <c r="K384">
        <f t="shared" si="48"/>
        <v>3.3370475741117263</v>
      </c>
      <c r="L384">
        <v>0</v>
      </c>
    </row>
    <row r="385" spans="1:12" x14ac:dyDescent="0.4">
      <c r="A385">
        <v>373</v>
      </c>
      <c r="B385">
        <f t="shared" si="49"/>
        <v>5.8076152304609199</v>
      </c>
      <c r="C385">
        <f t="shared" si="50"/>
        <v>33.352483282834001</v>
      </c>
      <c r="D385">
        <f t="shared" si="53"/>
        <v>9.8777844153018659</v>
      </c>
      <c r="E385">
        <f t="shared" si="51"/>
        <v>0.1715471259038463</v>
      </c>
      <c r="F385">
        <f t="shared" si="52"/>
        <v>52.299333172391798</v>
      </c>
      <c r="G385">
        <f t="shared" si="45"/>
        <v>21.210774378544965</v>
      </c>
      <c r="H385">
        <f t="shared" si="46"/>
        <v>48.959648060832762</v>
      </c>
      <c r="J385">
        <f t="shared" si="47"/>
        <v>0.58076152304609197</v>
      </c>
      <c r="K385">
        <f t="shared" si="48"/>
        <v>3.3352483282834</v>
      </c>
      <c r="L385">
        <v>0</v>
      </c>
    </row>
    <row r="386" spans="1:12" x14ac:dyDescent="0.4">
      <c r="A386">
        <v>374</v>
      </c>
      <c r="B386">
        <f t="shared" si="49"/>
        <v>5.7615230460921802</v>
      </c>
      <c r="C386">
        <f t="shared" si="50"/>
        <v>33.33459533045005</v>
      </c>
      <c r="D386">
        <f t="shared" si="53"/>
        <v>9.8060728171103229</v>
      </c>
      <c r="E386">
        <f t="shared" si="51"/>
        <v>0.17031394223684035</v>
      </c>
      <c r="F386">
        <f t="shared" si="52"/>
        <v>52.000371466497114</v>
      </c>
      <c r="G386">
        <f t="shared" si="45"/>
        <v>21.097149324693397</v>
      </c>
      <c r="H386">
        <f t="shared" si="46"/>
        <v>48.428429581676447</v>
      </c>
      <c r="J386">
        <f t="shared" si="47"/>
        <v>0.57615230460921807</v>
      </c>
      <c r="K386">
        <f t="shared" si="48"/>
        <v>3.333459533045005</v>
      </c>
      <c r="L386">
        <v>0</v>
      </c>
    </row>
    <row r="387" spans="1:12" x14ac:dyDescent="0.4">
      <c r="A387">
        <v>375</v>
      </c>
      <c r="B387">
        <f t="shared" si="49"/>
        <v>5.7154308617234504</v>
      </c>
      <c r="C387">
        <f t="shared" si="50"/>
        <v>33.316812471368237</v>
      </c>
      <c r="D387">
        <f t="shared" si="53"/>
        <v>9.7342230066503692</v>
      </c>
      <c r="E387">
        <f t="shared" si="51"/>
        <v>0.1690781142426219</v>
      </c>
      <c r="F387">
        <f t="shared" si="52"/>
        <v>51.699649457435896</v>
      </c>
      <c r="G387">
        <f t="shared" si="45"/>
        <v>20.982713225392764</v>
      </c>
      <c r="H387">
        <f t="shared" si="46"/>
        <v>47.901301865388014</v>
      </c>
      <c r="J387">
        <f t="shared" si="47"/>
        <v>0.57154308617234506</v>
      </c>
      <c r="K387">
        <f t="shared" si="48"/>
        <v>3.3316812471368236</v>
      </c>
      <c r="L387">
        <v>0</v>
      </c>
    </row>
    <row r="388" spans="1:12" x14ac:dyDescent="0.4">
      <c r="A388">
        <v>376</v>
      </c>
      <c r="B388">
        <f t="shared" si="49"/>
        <v>5.6693386773547099</v>
      </c>
      <c r="C388">
        <f t="shared" si="50"/>
        <v>33.299135293319551</v>
      </c>
      <c r="D388">
        <f t="shared" si="53"/>
        <v>9.6622353925967115</v>
      </c>
      <c r="E388">
        <f t="shared" si="51"/>
        <v>0.16783964935614987</v>
      </c>
      <c r="F388">
        <f t="shared" si="52"/>
        <v>51.397162025908244</v>
      </c>
      <c r="G388">
        <f t="shared" si="45"/>
        <v>20.867463316655765</v>
      </c>
      <c r="H388">
        <f t="shared" si="46"/>
        <v>47.37820768278889</v>
      </c>
      <c r="J388">
        <f t="shared" si="47"/>
        <v>0.56693386773547094</v>
      </c>
      <c r="K388">
        <f t="shared" si="48"/>
        <v>3.3299135293319551</v>
      </c>
      <c r="L388">
        <v>0</v>
      </c>
    </row>
    <row r="389" spans="1:12" x14ac:dyDescent="0.4">
      <c r="A389">
        <v>377</v>
      </c>
      <c r="B389">
        <f t="shared" si="49"/>
        <v>5.6232464929859702</v>
      </c>
      <c r="C389">
        <f t="shared" si="50"/>
        <v>33.281564384346453</v>
      </c>
      <c r="D389">
        <f t="shared" si="53"/>
        <v>9.590110394178982</v>
      </c>
      <c r="E389">
        <f t="shared" si="51"/>
        <v>0.16659855521997669</v>
      </c>
      <c r="F389">
        <f t="shared" si="52"/>
        <v>51.09290411113966</v>
      </c>
      <c r="G389">
        <f t="shared" si="45"/>
        <v>20.751396858480341</v>
      </c>
      <c r="H389">
        <f t="shared" si="46"/>
        <v>46.859090495759659</v>
      </c>
      <c r="J389">
        <f t="shared" si="47"/>
        <v>0.56232464929859705</v>
      </c>
      <c r="K389">
        <f t="shared" si="48"/>
        <v>3.3281564384346454</v>
      </c>
      <c r="L389">
        <v>0</v>
      </c>
    </row>
    <row r="390" spans="1:12" x14ac:dyDescent="0.4">
      <c r="A390">
        <v>378</v>
      </c>
      <c r="B390">
        <f t="shared" si="49"/>
        <v>5.5771543086172404</v>
      </c>
      <c r="C390">
        <f t="shared" si="50"/>
        <v>33.264100332786384</v>
      </c>
      <c r="D390">
        <f t="shared" si="53"/>
        <v>9.517848441239062</v>
      </c>
      <c r="E390">
        <f t="shared" si="51"/>
        <v>0.16535483968545797</v>
      </c>
      <c r="F390">
        <f t="shared" si="52"/>
        <v>50.78687071212903</v>
      </c>
      <c r="G390">
        <f t="shared" si="45"/>
        <v>20.634511135444985</v>
      </c>
      <c r="H390">
        <f t="shared" si="46"/>
        <v>46.343894444251134</v>
      </c>
      <c r="J390">
        <f t="shared" si="47"/>
        <v>0.55771543086172404</v>
      </c>
      <c r="K390">
        <f t="shared" si="48"/>
        <v>3.3264100332786386</v>
      </c>
      <c r="L390">
        <v>0</v>
      </c>
    </row>
    <row r="391" spans="1:12" x14ac:dyDescent="0.4">
      <c r="A391">
        <v>379</v>
      </c>
      <c r="B391">
        <f t="shared" si="49"/>
        <v>5.5310621242484999</v>
      </c>
      <c r="C391">
        <f t="shared" si="50"/>
        <v>33.246743727255428</v>
      </c>
      <c r="D391">
        <f t="shared" si="53"/>
        <v>9.4454499742874347</v>
      </c>
      <c r="E391">
        <f t="shared" si="51"/>
        <v>0.16410851081394182</v>
      </c>
      <c r="F391">
        <f t="shared" si="52"/>
        <v>50.479056888902676</v>
      </c>
      <c r="G391">
        <f t="shared" si="45"/>
        <v>20.516803457307621</v>
      </c>
      <c r="H391">
        <f t="shared" si="46"/>
        <v>45.832564333503477</v>
      </c>
      <c r="J391">
        <f t="shared" si="47"/>
        <v>0.55310621242485003</v>
      </c>
      <c r="K391">
        <f t="shared" si="48"/>
        <v>3.3246743727255428</v>
      </c>
      <c r="L391">
        <v>0</v>
      </c>
    </row>
    <row r="392" spans="1:12" x14ac:dyDescent="0.4">
      <c r="A392">
        <v>380</v>
      </c>
      <c r="B392">
        <f t="shared" si="49"/>
        <v>5.4849699398797602</v>
      </c>
      <c r="C392">
        <f t="shared" si="50"/>
        <v>33.229495156632176</v>
      </c>
      <c r="D392">
        <f t="shared" si="53"/>
        <v>9.3729154445586822</v>
      </c>
      <c r="E392">
        <f t="shared" si="51"/>
        <v>0.1628595768779405</v>
      </c>
      <c r="F392">
        <f t="shared" si="52"/>
        <v>50.169457763774943</v>
      </c>
      <c r="G392">
        <f t="shared" si="45"/>
        <v>20.398271159608129</v>
      </c>
      <c r="H392">
        <f t="shared" si="46"/>
        <v>45.325045621469272</v>
      </c>
      <c r="J392">
        <f t="shared" si="47"/>
        <v>0.54849699398797602</v>
      </c>
      <c r="K392">
        <f t="shared" si="48"/>
        <v>3.3229495156632174</v>
      </c>
      <c r="L392">
        <v>0</v>
      </c>
    </row>
    <row r="393" spans="1:12" x14ac:dyDescent="0.4">
      <c r="A393">
        <v>381</v>
      </c>
      <c r="B393">
        <f t="shared" si="49"/>
        <v>5.4388777555110197</v>
      </c>
      <c r="C393">
        <f t="shared" si="50"/>
        <v>33.212355210041771</v>
      </c>
      <c r="D393">
        <f t="shared" si="53"/>
        <v>9.3002453140657817</v>
      </c>
      <c r="E393">
        <f t="shared" si="51"/>
        <v>0.1616080463622776</v>
      </c>
      <c r="F393">
        <f t="shared" si="52"/>
        <v>49.858068522613905</v>
      </c>
      <c r="G393">
        <f t="shared" si="45"/>
        <v>20.278911604274061</v>
      </c>
      <c r="H393">
        <f t="shared" si="46"/>
        <v>44.821284406433001</v>
      </c>
      <c r="J393">
        <f t="shared" si="47"/>
        <v>0.54388777555110202</v>
      </c>
      <c r="K393">
        <f t="shared" si="48"/>
        <v>3.3212355210041773</v>
      </c>
      <c r="L393">
        <v>0</v>
      </c>
    </row>
    <row r="394" spans="1:12" x14ac:dyDescent="0.4">
      <c r="A394">
        <v>382</v>
      </c>
      <c r="B394">
        <f t="shared" si="49"/>
        <v>5.3927855711422801</v>
      </c>
      <c r="C394">
        <f t="shared" si="50"/>
        <v>33.19532447684017</v>
      </c>
      <c r="D394">
        <f t="shared" si="53"/>
        <v>9.2274400556534371</v>
      </c>
      <c r="E394">
        <f t="shared" si="51"/>
        <v>0.16035392796521522</v>
      </c>
      <c r="F394">
        <f t="shared" si="52"/>
        <v>49.544884416112694</v>
      </c>
      <c r="G394">
        <f t="shared" si="45"/>
        <v>20.158722180229628</v>
      </c>
      <c r="H394">
        <f t="shared" si="46"/>
        <v>44.321227414823085</v>
      </c>
      <c r="J394">
        <f t="shared" si="47"/>
        <v>0.53927855711422801</v>
      </c>
      <c r="K394">
        <f t="shared" si="48"/>
        <v>3.3195324476840171</v>
      </c>
      <c r="L394">
        <v>0</v>
      </c>
    </row>
    <row r="395" spans="1:12" x14ac:dyDescent="0.4">
      <c r="A395">
        <v>383</v>
      </c>
      <c r="B395">
        <f t="shared" si="49"/>
        <v>5.3466933867735502</v>
      </c>
      <c r="C395">
        <f t="shared" si="50"/>
        <v>33.178403546598581</v>
      </c>
      <c r="D395">
        <f t="shared" si="53"/>
        <v>9.154500153050348</v>
      </c>
      <c r="E395">
        <f t="shared" si="51"/>
        <v>0.15909723059955913</v>
      </c>
      <c r="F395">
        <f t="shared" si="52"/>
        <v>49.229900761066148</v>
      </c>
      <c r="G395">
        <f t="shared" si="45"/>
        <v>20.037700304007899</v>
      </c>
      <c r="H395">
        <f t="shared" si="46"/>
        <v>43.824821989211102</v>
      </c>
      <c r="J395">
        <f t="shared" si="47"/>
        <v>0.534669338677355</v>
      </c>
      <c r="K395">
        <f t="shared" si="48"/>
        <v>3.3178403546598583</v>
      </c>
      <c r="L395">
        <v>0</v>
      </c>
    </row>
    <row r="396" spans="1:12" x14ac:dyDescent="0.4">
      <c r="A396">
        <v>384</v>
      </c>
      <c r="B396">
        <f t="shared" si="49"/>
        <v>5.3006012024048097</v>
      </c>
      <c r="C396">
        <f t="shared" si="50"/>
        <v>33.161593009088172</v>
      </c>
      <c r="D396">
        <f t="shared" si="53"/>
        <v>9.081426100920277</v>
      </c>
      <c r="E396">
        <f t="shared" si="51"/>
        <v>0.15783796339373934</v>
      </c>
      <c r="F396">
        <f t="shared" si="52"/>
        <v>48.91311294165223</v>
      </c>
      <c r="G396">
        <f t="shared" ref="G396:G459" si="54">IFERROR((-D396+F396)/2,IF($B$2-1=A396,G395,NA()))</f>
        <v>19.915843420365977</v>
      </c>
      <c r="H396">
        <f t="shared" ref="H396:H459" si="55">IF(A396="",NA(),B396+TAN(RADIANS(F396))*C396)</f>
        <v>43.332016076492636</v>
      </c>
      <c r="J396">
        <f t="shared" ref="J396:J459" si="56">IF(A396="",NA(),B396/10)</f>
        <v>0.53006012024048099</v>
      </c>
      <c r="K396">
        <f t="shared" ref="K396:K459" si="57">IF(A396="",NA(),C396/10)</f>
        <v>3.3161593009088173</v>
      </c>
      <c r="L396">
        <v>0</v>
      </c>
    </row>
    <row r="397" spans="1:12" x14ac:dyDescent="0.4">
      <c r="A397">
        <v>385</v>
      </c>
      <c r="B397">
        <f t="shared" ref="B397:B460" si="58">IFERROR(ROUND(-$B$6*(A397/($B$2-1)-1),20),IF($B$2-1=A397,0,NA()))</f>
        <v>5.2545090180360701</v>
      </c>
      <c r="C397">
        <f t="shared" ref="C397:C460" si="59">IFERROR(C396-TAN(RADIANS(G396))*$B$3,IF($B$2-1=A397,C396,NA()))</f>
        <v>33.144893454264974</v>
      </c>
      <c r="D397">
        <f t="shared" si="53"/>
        <v>9.0082184049122063</v>
      </c>
      <c r="E397">
        <f t="shared" ref="E397:E460" si="60">IF(A397="",NA(),SIN(RADIANS(D397)))</f>
        <v>0.15657613569287118</v>
      </c>
      <c r="F397">
        <f t="shared" ref="F397:F460" si="61">IF(A397="", NA(), 180-MEDIAN(90, 180, $F$4*D397^2 - ((90+$F$4*$B$4^2)/$B$4)*D397 + 180))</f>
        <v>48.594516410718882</v>
      </c>
      <c r="G397">
        <f t="shared" si="54"/>
        <v>19.793149002903338</v>
      </c>
      <c r="H397">
        <f t="shared" si="55"/>
        <v>42.842758216246253</v>
      </c>
      <c r="J397">
        <f t="shared" si="56"/>
        <v>0.52545090180360698</v>
      </c>
      <c r="K397">
        <f t="shared" si="57"/>
        <v>3.3144893454264972</v>
      </c>
      <c r="L397">
        <v>0</v>
      </c>
    </row>
    <row r="398" spans="1:12" x14ac:dyDescent="0.4">
      <c r="A398">
        <v>386</v>
      </c>
      <c r="B398">
        <f t="shared" si="58"/>
        <v>5.2084168336673304</v>
      </c>
      <c r="C398">
        <f t="shared" si="59"/>
        <v>33.128305472255001</v>
      </c>
      <c r="D398">
        <f t="shared" ref="D398:D461" si="62">IF(A398="",NA(),DEGREES(ATAN(B398/C398)))</f>
        <v>8.9348775817091646</v>
      </c>
      <c r="E398">
        <f t="shared" si="60"/>
        <v>0.15531175705978928</v>
      </c>
      <c r="F398">
        <f t="shared" si="61"/>
        <v>48.274106691074735</v>
      </c>
      <c r="G398">
        <f t="shared" si="54"/>
        <v>19.669614554682784</v>
      </c>
      <c r="H398">
        <f t="shared" si="55"/>
        <v>42.35699752926363</v>
      </c>
      <c r="J398">
        <f t="shared" si="56"/>
        <v>0.52084168336673309</v>
      </c>
      <c r="K398">
        <f t="shared" si="57"/>
        <v>3.3128305472255</v>
      </c>
      <c r="L398">
        <v>0</v>
      </c>
    </row>
    <row r="399" spans="1:12" x14ac:dyDescent="0.4">
      <c r="A399">
        <v>387</v>
      </c>
      <c r="B399">
        <f t="shared" si="58"/>
        <v>5.1623246492985997</v>
      </c>
      <c r="C399">
        <f t="shared" si="59"/>
        <v>33.111829653339662</v>
      </c>
      <c r="D399">
        <f t="shared" si="62"/>
        <v>8.861404159076006</v>
      </c>
      <c r="E399">
        <f t="shared" si="60"/>
        <v>0.15404483727605933</v>
      </c>
      <c r="F399">
        <f t="shared" si="61"/>
        <v>47.951879376784461</v>
      </c>
      <c r="G399">
        <f t="shared" si="54"/>
        <v>19.545237608854229</v>
      </c>
      <c r="H399">
        <f t="shared" si="55"/>
        <v>41.874683706247581</v>
      </c>
      <c r="J399">
        <f t="shared" si="56"/>
        <v>0.51623246492985997</v>
      </c>
      <c r="K399">
        <f t="shared" si="57"/>
        <v>3.3111829653339662</v>
      </c>
      <c r="L399">
        <v>0</v>
      </c>
    </row>
    <row r="400" spans="1:12" x14ac:dyDescent="0.4">
      <c r="A400">
        <v>388</v>
      </c>
      <c r="B400">
        <f t="shared" si="58"/>
        <v>5.1162324649298601</v>
      </c>
      <c r="C400">
        <f t="shared" si="59"/>
        <v>33.095466587941381</v>
      </c>
      <c r="D400">
        <f t="shared" si="62"/>
        <v>8.7877986759059326</v>
      </c>
      <c r="E400">
        <f t="shared" si="60"/>
        <v>0.15277538634296411</v>
      </c>
      <c r="F400">
        <f t="shared" si="61"/>
        <v>47.627830134468155</v>
      </c>
      <c r="G400">
        <f t="shared" si="54"/>
        <v>19.420015729281111</v>
      </c>
      <c r="H400">
        <f t="shared" si="55"/>
        <v>41.395766996672755</v>
      </c>
      <c r="J400">
        <f t="shared" si="56"/>
        <v>0.51162324649298596</v>
      </c>
      <c r="K400">
        <f t="shared" si="57"/>
        <v>3.309546658794138</v>
      </c>
      <c r="L400">
        <v>0</v>
      </c>
    </row>
    <row r="401" spans="1:12" x14ac:dyDescent="0.4">
      <c r="A401">
        <v>389</v>
      </c>
      <c r="B401">
        <f t="shared" si="58"/>
        <v>5.0701402805611204</v>
      </c>
      <c r="C401">
        <f t="shared" si="59"/>
        <v>33.079216866609499</v>
      </c>
      <c r="D401">
        <f t="shared" si="62"/>
        <v>8.7140616822659585</v>
      </c>
      <c r="E401">
        <f t="shared" si="60"/>
        <v>0.15150341448246654</v>
      </c>
      <c r="F401">
        <f t="shared" si="61"/>
        <v>47.301954704604839</v>
      </c>
      <c r="G401">
        <f t="shared" si="54"/>
        <v>19.293946511169441</v>
      </c>
      <c r="H401">
        <f t="shared" si="55"/>
        <v>40.920198197804858</v>
      </c>
      <c r="J401">
        <f t="shared" si="56"/>
        <v>0.50701402805611206</v>
      </c>
      <c r="K401">
        <f t="shared" si="57"/>
        <v>3.3079216866609498</v>
      </c>
      <c r="L401">
        <v>0</v>
      </c>
    </row>
    <row r="402" spans="1:12" x14ac:dyDescent="0.4">
      <c r="A402">
        <v>390</v>
      </c>
      <c r="B402">
        <f t="shared" si="58"/>
        <v>5.0240480961923799</v>
      </c>
      <c r="C402">
        <f t="shared" si="59"/>
        <v>33.063081080006448</v>
      </c>
      <c r="D402">
        <f t="shared" si="62"/>
        <v>8.6401937394410027</v>
      </c>
      <c r="E402">
        <f t="shared" si="60"/>
        <v>0.15022893213814495</v>
      </c>
      <c r="F402">
        <f t="shared" si="61"/>
        <v>46.974248902839122</v>
      </c>
      <c r="G402">
        <f t="shared" si="54"/>
        <v>19.16702758169906</v>
      </c>
      <c r="H402">
        <f t="shared" si="55"/>
        <v>40.447928643872828</v>
      </c>
      <c r="J402">
        <f t="shared" si="56"/>
        <v>0.50240480961923795</v>
      </c>
      <c r="K402">
        <f t="shared" si="57"/>
        <v>3.3063081080006449</v>
      </c>
      <c r="L402">
        <v>0</v>
      </c>
    </row>
    <row r="403" spans="1:12" x14ac:dyDescent="0.4">
      <c r="A403">
        <v>391</v>
      </c>
      <c r="B403">
        <f t="shared" si="58"/>
        <v>4.97795591182365</v>
      </c>
      <c r="C403">
        <f t="shared" si="59"/>
        <v>33.047059818894162</v>
      </c>
      <c r="D403">
        <f t="shared" si="62"/>
        <v>8.5661954199768608</v>
      </c>
      <c r="E403">
        <f t="shared" si="60"/>
        <v>0.14895194997610392</v>
      </c>
      <c r="F403">
        <f t="shared" si="61"/>
        <v>46.644708621291386</v>
      </c>
      <c r="G403">
        <f t="shared" si="54"/>
        <v>19.039256600657261</v>
      </c>
      <c r="H403">
        <f t="shared" si="55"/>
        <v>39.978910195390206</v>
      </c>
      <c r="J403">
        <f t="shared" si="56"/>
        <v>0.49779559118236499</v>
      </c>
      <c r="K403">
        <f t="shared" si="57"/>
        <v>3.3047059818894162</v>
      </c>
      <c r="L403">
        <v>0</v>
      </c>
    </row>
    <row r="404" spans="1:12" x14ac:dyDescent="0.4">
      <c r="A404">
        <v>392</v>
      </c>
      <c r="B404">
        <f t="shared" si="58"/>
        <v>4.9318637274549104</v>
      </c>
      <c r="C404">
        <f t="shared" si="59"/>
        <v>33.031153674120837</v>
      </c>
      <c r="D404">
        <f t="shared" si="62"/>
        <v>8.4920673077218005</v>
      </c>
      <c r="E404">
        <f t="shared" si="60"/>
        <v>0.14767247888585711</v>
      </c>
      <c r="F404">
        <f t="shared" si="61"/>
        <v>46.313329829871066</v>
      </c>
      <c r="G404">
        <f t="shared" si="54"/>
        <v>18.910631261074634</v>
      </c>
      <c r="H404">
        <f t="shared" si="55"/>
        <v>39.513095228621324</v>
      </c>
      <c r="J404">
        <f t="shared" si="56"/>
        <v>0.49318637274549104</v>
      </c>
      <c r="K404">
        <f t="shared" si="57"/>
        <v>3.3031153674120839</v>
      </c>
      <c r="L404">
        <v>0</v>
      </c>
    </row>
    <row r="405" spans="1:12" x14ac:dyDescent="0.4">
      <c r="A405">
        <v>393</v>
      </c>
      <c r="B405">
        <f t="shared" si="58"/>
        <v>4.8857715430861699</v>
      </c>
      <c r="C405">
        <f t="shared" si="59"/>
        <v>33.015363236607918</v>
      </c>
      <c r="D405">
        <f t="shared" si="62"/>
        <v>8.4178099978670566</v>
      </c>
      <c r="E405">
        <f t="shared" si="60"/>
        <v>0.14639052998118599</v>
      </c>
      <c r="F405">
        <f t="shared" si="61"/>
        <v>45.980108577592887</v>
      </c>
      <c r="G405">
        <f t="shared" si="54"/>
        <v>18.781149289862917</v>
      </c>
      <c r="H405">
        <f t="shared" si="55"/>
        <v>39.050436625187793</v>
      </c>
      <c r="J405">
        <f t="shared" si="56"/>
        <v>0.48857715430861698</v>
      </c>
      <c r="K405">
        <f t="shared" si="57"/>
        <v>3.301536323660792</v>
      </c>
      <c r="L405">
        <v>0</v>
      </c>
    </row>
    <row r="406" spans="1:12" x14ac:dyDescent="0.4">
      <c r="A406">
        <v>394</v>
      </c>
      <c r="B406">
        <f t="shared" si="58"/>
        <v>4.8396793587174303</v>
      </c>
      <c r="C406">
        <f t="shared" si="59"/>
        <v>32.999689097337445</v>
      </c>
      <c r="D406">
        <f t="shared" si="62"/>
        <v>8.3434240969858724</v>
      </c>
      <c r="E406">
        <f t="shared" si="60"/>
        <v>0.14510611460096834</v>
      </c>
      <c r="F406">
        <f t="shared" si="61"/>
        <v>45.645040993895407</v>
      </c>
      <c r="G406">
        <f t="shared" si="54"/>
        <v>18.650808448454768</v>
      </c>
      <c r="H406">
        <f t="shared" si="55"/>
        <v>38.590887761810713</v>
      </c>
      <c r="J406">
        <f t="shared" si="56"/>
        <v>0.48396793587174303</v>
      </c>
      <c r="K406">
        <f t="shared" si="57"/>
        <v>3.2999689097337446</v>
      </c>
      <c r="L406">
        <v>0</v>
      </c>
    </row>
    <row r="407" spans="1:12" x14ac:dyDescent="0.4">
      <c r="A407">
        <v>395</v>
      </c>
      <c r="B407">
        <f t="shared" si="58"/>
        <v>4.7935871743487004</v>
      </c>
      <c r="C407">
        <f t="shared" si="59"/>
        <v>32.984131847339661</v>
      </c>
      <c r="D407">
        <f t="shared" si="62"/>
        <v>8.2689102230713019</v>
      </c>
      <c r="E407">
        <f t="shared" si="60"/>
        <v>0.14381924430998072</v>
      </c>
      <c r="F407">
        <f t="shared" si="61"/>
        <v>45.308123289961969</v>
      </c>
      <c r="G407">
        <f t="shared" si="54"/>
        <v>18.519606533445334</v>
      </c>
      <c r="H407">
        <f t="shared" si="55"/>
        <v>38.134402500184635</v>
      </c>
      <c r="J407">
        <f t="shared" si="56"/>
        <v>0.47935871743487002</v>
      </c>
      <c r="K407">
        <f t="shared" si="57"/>
        <v>3.2984131847339659</v>
      </c>
      <c r="L407">
        <v>0</v>
      </c>
    </row>
    <row r="408" spans="1:12" x14ac:dyDescent="0.4">
      <c r="A408">
        <v>396</v>
      </c>
      <c r="B408">
        <f t="shared" si="58"/>
        <v>4.7474949899799599</v>
      </c>
      <c r="C408">
        <f t="shared" si="59"/>
        <v>32.968692077680963</v>
      </c>
      <c r="D408">
        <f t="shared" si="62"/>
        <v>8.1942690055726182</v>
      </c>
      <c r="E408">
        <f t="shared" si="60"/>
        <v>0.14252993089967114</v>
      </c>
      <c r="F408">
        <f t="shared" si="61"/>
        <v>44.969351760043452</v>
      </c>
      <c r="G408">
        <f t="shared" si="54"/>
        <v>18.387541377235415</v>
      </c>
      <c r="H408">
        <f t="shared" si="55"/>
        <v>37.680935176978878</v>
      </c>
      <c r="J408">
        <f t="shared" si="56"/>
        <v>0.47474949899799601</v>
      </c>
      <c r="K408">
        <f t="shared" si="57"/>
        <v>3.2968692077680961</v>
      </c>
      <c r="L408">
        <v>0</v>
      </c>
    </row>
    <row r="409" spans="1:12" x14ac:dyDescent="0.4">
      <c r="A409">
        <v>397</v>
      </c>
      <c r="B409">
        <f t="shared" si="58"/>
        <v>4.7014028056112203</v>
      </c>
      <c r="C409">
        <f t="shared" si="59"/>
        <v>32.953370379452174</v>
      </c>
      <c r="D409">
        <f t="shared" si="62"/>
        <v>8.1195010854305174</v>
      </c>
      <c r="E409">
        <f t="shared" si="60"/>
        <v>0.14123818638890612</v>
      </c>
      <c r="F409">
        <f t="shared" si="61"/>
        <v>44.62872278278337</v>
      </c>
      <c r="G409">
        <f t="shared" si="54"/>
        <v>18.254610848676428</v>
      </c>
      <c r="H409">
        <f t="shared" si="55"/>
        <v>37.230440593962911</v>
      </c>
      <c r="J409">
        <f t="shared" si="56"/>
        <v>0.470140280561122</v>
      </c>
      <c r="K409">
        <f t="shared" si="57"/>
        <v>3.2953370379452176</v>
      </c>
      <c r="L409">
        <v>0</v>
      </c>
    </row>
    <row r="410" spans="1:12" x14ac:dyDescent="0.4">
      <c r="A410">
        <v>398</v>
      </c>
      <c r="B410">
        <f t="shared" si="58"/>
        <v>4.6553106212424797</v>
      </c>
      <c r="C410">
        <f t="shared" si="59"/>
        <v>32.938167343757151</v>
      </c>
      <c r="D410">
        <f t="shared" si="62"/>
        <v>8.0446071151107681</v>
      </c>
      <c r="E410">
        <f t="shared" si="60"/>
        <v>0.13994402302468503</v>
      </c>
      <c r="F410">
        <f t="shared" si="61"/>
        <v>44.286232822543496</v>
      </c>
      <c r="G410">
        <f t="shared" si="54"/>
        <v>18.120812853716366</v>
      </c>
      <c r="H410">
        <f t="shared" si="55"/>
        <v>36.782874008249827</v>
      </c>
      <c r="J410">
        <f t="shared" si="56"/>
        <v>0.465531062124248</v>
      </c>
      <c r="K410">
        <f t="shared" si="57"/>
        <v>3.293816734375715</v>
      </c>
      <c r="L410">
        <v>0</v>
      </c>
    </row>
    <row r="411" spans="1:12" x14ac:dyDescent="0.4">
      <c r="A411">
        <v>399</v>
      </c>
      <c r="B411">
        <f t="shared" si="58"/>
        <v>4.6092184368737499</v>
      </c>
      <c r="C411">
        <f t="shared" si="59"/>
        <v>32.923083561701723</v>
      </c>
      <c r="D411">
        <f t="shared" si="62"/>
        <v>7.9695877586366235</v>
      </c>
      <c r="E411">
        <f t="shared" si="60"/>
        <v>0.13864745328282765</v>
      </c>
      <c r="F411">
        <f t="shared" si="61"/>
        <v>43.941878430731663</v>
      </c>
      <c r="G411">
        <f t="shared" si="54"/>
        <v>17.986145336047521</v>
      </c>
      <c r="H411">
        <f t="shared" si="55"/>
        <v>36.338191122656298</v>
      </c>
      <c r="J411">
        <f t="shared" si="56"/>
        <v>0.46092184368737499</v>
      </c>
      <c r="K411">
        <f t="shared" si="57"/>
        <v>3.2923083561701723</v>
      </c>
      <c r="L411">
        <v>0</v>
      </c>
    </row>
    <row r="412" spans="1:12" x14ac:dyDescent="0.4">
      <c r="A412">
        <v>400</v>
      </c>
      <c r="B412">
        <f t="shared" si="58"/>
        <v>4.5631262525050102</v>
      </c>
      <c r="C412">
        <f t="shared" si="59"/>
        <v>32.908119624382998</v>
      </c>
      <c r="D412">
        <f t="shared" si="62"/>
        <v>7.8944436916196663</v>
      </c>
      <c r="E412">
        <f t="shared" si="60"/>
        <v>0.13734848986862933</v>
      </c>
      <c r="F412">
        <f t="shared" si="61"/>
        <v>43.595656247129199</v>
      </c>
      <c r="G412">
        <f t="shared" si="54"/>
        <v>17.850606277754768</v>
      </c>
      <c r="H412">
        <f t="shared" si="55"/>
        <v>35.896348076172174</v>
      </c>
      <c r="J412">
        <f t="shared" si="56"/>
        <v>0.45631262525050104</v>
      </c>
      <c r="K412">
        <f t="shared" si="57"/>
        <v>3.2908119624382999</v>
      </c>
      <c r="L412">
        <v>0</v>
      </c>
    </row>
    <row r="413" spans="1:12" x14ac:dyDescent="0.4">
      <c r="A413">
        <v>401</v>
      </c>
      <c r="B413">
        <f t="shared" si="58"/>
        <v>4.5170340681362697</v>
      </c>
      <c r="C413">
        <f t="shared" si="59"/>
        <v>32.893276122879008</v>
      </c>
      <c r="D413">
        <f t="shared" si="62"/>
        <v>7.8191756012894604</v>
      </c>
      <c r="E413">
        <f t="shared" si="60"/>
        <v>0.13604714571748902</v>
      </c>
      <c r="F413">
        <f t="shared" si="61"/>
        <v>43.24756300122047</v>
      </c>
      <c r="G413">
        <f t="shared" si="54"/>
        <v>17.714193699965506</v>
      </c>
      <c r="H413">
        <f t="shared" si="55"/>
        <v>35.457301434539204</v>
      </c>
      <c r="J413">
        <f t="shared" si="56"/>
        <v>0.45170340681362697</v>
      </c>
      <c r="K413">
        <f t="shared" si="57"/>
        <v>3.2893276122879009</v>
      </c>
      <c r="L413">
        <v>0</v>
      </c>
    </row>
    <row r="414" spans="1:12" x14ac:dyDescent="0.4">
      <c r="A414">
        <v>402</v>
      </c>
      <c r="B414">
        <f t="shared" si="58"/>
        <v>4.4709418837675301</v>
      </c>
      <c r="C414">
        <f t="shared" si="59"/>
        <v>32.878553648238743</v>
      </c>
      <c r="D414">
        <f t="shared" si="62"/>
        <v>7.7437841865215562</v>
      </c>
      <c r="E414">
        <f t="shared" si="60"/>
        <v>0.13474343399550376</v>
      </c>
      <c r="F414">
        <f t="shared" si="61"/>
        <v>42.897595513521338</v>
      </c>
      <c r="G414">
        <f t="shared" si="54"/>
        <v>17.57690566349989</v>
      </c>
      <c r="H414">
        <f t="shared" si="55"/>
        <v>35.021008180931275</v>
      </c>
      <c r="J414">
        <f t="shared" si="56"/>
        <v>0.44709418837675302</v>
      </c>
      <c r="K414">
        <f t="shared" si="57"/>
        <v>3.2878553648238742</v>
      </c>
      <c r="L414">
        <v>0</v>
      </c>
    </row>
    <row r="415" spans="1:12" x14ac:dyDescent="0.4">
      <c r="A415">
        <v>403</v>
      </c>
      <c r="B415">
        <f t="shared" si="58"/>
        <v>4.4248496993988002</v>
      </c>
      <c r="C415">
        <f t="shared" si="59"/>
        <v>32.863952791472521</v>
      </c>
      <c r="D415">
        <f t="shared" si="62"/>
        <v>7.6682701578641597</v>
      </c>
      <c r="E415">
        <f t="shared" si="60"/>
        <v>0.13343736810003343</v>
      </c>
      <c r="F415">
        <f t="shared" si="61"/>
        <v>42.545750696908499</v>
      </c>
      <c r="G415">
        <f t="shared" si="54"/>
        <v>17.438740269522171</v>
      </c>
      <c r="H415">
        <f t="shared" si="55"/>
        <v>34.587425706735203</v>
      </c>
      <c r="J415">
        <f t="shared" si="56"/>
        <v>0.44248496993988001</v>
      </c>
      <c r="K415">
        <f t="shared" si="57"/>
        <v>3.2863952791472522</v>
      </c>
      <c r="L415">
        <v>0</v>
      </c>
    </row>
    <row r="416" spans="1:12" x14ac:dyDescent="0.4">
      <c r="A416">
        <v>404</v>
      </c>
      <c r="B416">
        <f t="shared" si="58"/>
        <v>4.3787575150300597</v>
      </c>
      <c r="C416">
        <f t="shared" si="59"/>
        <v>32.849474143542793</v>
      </c>
      <c r="D416">
        <f t="shared" si="62"/>
        <v>7.5926342375632103</v>
      </c>
      <c r="E416">
        <f t="shared" si="60"/>
        <v>0.13212896166023239</v>
      </c>
      <c r="F416">
        <f t="shared" si="61"/>
        <v>42.192025557947773</v>
      </c>
      <c r="G416">
        <f t="shared" si="54"/>
        <v>17.299695660192281</v>
      </c>
      <c r="H416">
        <f t="shared" si="55"/>
        <v>34.156511802426074</v>
      </c>
      <c r="J416">
        <f t="shared" si="56"/>
        <v>0.43787575150300595</v>
      </c>
      <c r="K416">
        <f t="shared" si="57"/>
        <v>3.2849474143542792</v>
      </c>
      <c r="L416">
        <v>0</v>
      </c>
    </row>
    <row r="417" spans="1:12" x14ac:dyDescent="0.4">
      <c r="A417">
        <v>405</v>
      </c>
      <c r="B417">
        <f t="shared" si="58"/>
        <v>4.3326653306613201</v>
      </c>
      <c r="C417">
        <f t="shared" si="59"/>
        <v>32.835118295355286</v>
      </c>
      <c r="D417">
        <f t="shared" si="62"/>
        <v>7.516877159586179</v>
      </c>
      <c r="E417">
        <f t="shared" si="60"/>
        <v>0.13081822853755234</v>
      </c>
      <c r="F417">
        <f t="shared" si="61"/>
        <v>41.836417198222705</v>
      </c>
      <c r="G417">
        <f t="shared" si="54"/>
        <v>17.159770019318263</v>
      </c>
      <c r="H417">
        <f t="shared" si="55"/>
        <v>33.728224648535374</v>
      </c>
      <c r="J417">
        <f t="shared" si="56"/>
        <v>0.433266533066132</v>
      </c>
      <c r="K417">
        <f t="shared" si="57"/>
        <v>3.2835118295355286</v>
      </c>
      <c r="L417">
        <v>0</v>
      </c>
    </row>
    <row r="418" spans="1:12" x14ac:dyDescent="0.4">
      <c r="A418">
        <v>406</v>
      </c>
      <c r="B418">
        <f t="shared" si="58"/>
        <v>4.2865731462925796</v>
      </c>
      <c r="C418">
        <f t="shared" si="59"/>
        <v>32.820885837750588</v>
      </c>
      <c r="D418">
        <f t="shared" si="62"/>
        <v>7.4409996696441363</v>
      </c>
      <c r="E418">
        <f t="shared" si="60"/>
        <v>0.12950518282620935</v>
      </c>
      <c r="F418">
        <f t="shared" si="61"/>
        <v>41.478922815661321</v>
      </c>
      <c r="G418">
        <f t="shared" si="54"/>
        <v>17.018961573008593</v>
      </c>
      <c r="H418">
        <f t="shared" si="55"/>
        <v>33.302522806705923</v>
      </c>
      <c r="J418">
        <f t="shared" si="56"/>
        <v>0.42865731462925794</v>
      </c>
      <c r="K418">
        <f t="shared" si="57"/>
        <v>3.2820885837750589</v>
      </c>
      <c r="L418">
        <v>0</v>
      </c>
    </row>
    <row r="419" spans="1:12" x14ac:dyDescent="0.4">
      <c r="A419">
        <v>407</v>
      </c>
      <c r="B419">
        <f t="shared" si="58"/>
        <v>4.2404809619238497</v>
      </c>
      <c r="C419">
        <f t="shared" si="59"/>
        <v>32.806777361496103</v>
      </c>
      <c r="D419">
        <f t="shared" si="62"/>
        <v>7.3650025252124651</v>
      </c>
      <c r="E419">
        <f t="shared" si="60"/>
        <v>0.12818983885362054</v>
      </c>
      <c r="F419">
        <f t="shared" si="61"/>
        <v>41.119539705862366</v>
      </c>
      <c r="G419">
        <f t="shared" si="54"/>
        <v>16.877268590324949</v>
      </c>
      <c r="H419">
        <f t="shared" si="55"/>
        <v>32.879365210831587</v>
      </c>
      <c r="J419">
        <f t="shared" si="56"/>
        <v>0.42404809619238498</v>
      </c>
      <c r="K419">
        <f t="shared" si="57"/>
        <v>3.2806777361496104</v>
      </c>
      <c r="L419">
        <v>0</v>
      </c>
    </row>
    <row r="420" spans="1:12" x14ac:dyDescent="0.4">
      <c r="A420">
        <v>408</v>
      </c>
      <c r="B420">
        <f t="shared" si="58"/>
        <v>4.1943887775551101</v>
      </c>
      <c r="C420">
        <f t="shared" si="59"/>
        <v>32.792793457278428</v>
      </c>
      <c r="D420">
        <f t="shared" si="62"/>
        <v>7.2888864955498969</v>
      </c>
      <c r="E420">
        <f t="shared" si="60"/>
        <v>0.12687221118080577</v>
      </c>
      <c r="F420">
        <f t="shared" si="61"/>
        <v>40.758265263419162</v>
      </c>
      <c r="G420">
        <f t="shared" si="54"/>
        <v>16.734689383934633</v>
      </c>
      <c r="H420">
        <f t="shared" si="55"/>
        <v>32.458711158276401</v>
      </c>
      <c r="J420">
        <f t="shared" si="56"/>
        <v>0.41943887775551103</v>
      </c>
      <c r="K420">
        <f t="shared" si="57"/>
        <v>3.2792793457278426</v>
      </c>
      <c r="L420">
        <v>0</v>
      </c>
    </row>
    <row r="421" spans="1:12" x14ac:dyDescent="0.4">
      <c r="A421">
        <v>409</v>
      </c>
      <c r="B421">
        <f t="shared" si="58"/>
        <v>4.1482965931863696</v>
      </c>
      <c r="C421">
        <f t="shared" si="59"/>
        <v>32.778934715696174</v>
      </c>
      <c r="D421">
        <f t="shared" si="62"/>
        <v>7.2126523617161773</v>
      </c>
      <c r="E421">
        <f t="shared" si="60"/>
        <v>0.12555231460275856</v>
      </c>
      <c r="F421">
        <f t="shared" si="61"/>
        <v>40.395096983242638</v>
      </c>
      <c r="G421">
        <f t="shared" si="54"/>
        <v>16.591222310763229</v>
      </c>
      <c r="H421">
        <f t="shared" si="55"/>
        <v>32.040520301171362</v>
      </c>
      <c r="J421">
        <f t="shared" si="56"/>
        <v>0.41482965931863697</v>
      </c>
      <c r="K421">
        <f t="shared" si="57"/>
        <v>3.2778934715696173</v>
      </c>
      <c r="L421">
        <v>0</v>
      </c>
    </row>
    <row r="422" spans="1:12" x14ac:dyDescent="0.4">
      <c r="A422">
        <v>410</v>
      </c>
      <c r="B422">
        <f t="shared" si="58"/>
        <v>4.1022044088176299</v>
      </c>
      <c r="C422">
        <f t="shared" si="59"/>
        <v>32.765201727253185</v>
      </c>
      <c r="D422">
        <f t="shared" si="62"/>
        <v>7.1363009165880209</v>
      </c>
      <c r="E422">
        <f t="shared" si="60"/>
        <v>0.12423016414878083</v>
      </c>
      <c r="F422">
        <f t="shared" si="61"/>
        <v>40.03003246188149</v>
      </c>
      <c r="G422">
        <f t="shared" si="54"/>
        <v>16.446865772646735</v>
      </c>
      <c r="H422">
        <f t="shared" si="55"/>
        <v>31.624752637783178</v>
      </c>
      <c r="J422">
        <f t="shared" si="56"/>
        <v>0.41022044088176302</v>
      </c>
      <c r="K422">
        <f t="shared" si="57"/>
        <v>3.2765201727253186</v>
      </c>
      <c r="L422">
        <v>0</v>
      </c>
    </row>
    <row r="423" spans="1:12" x14ac:dyDescent="0.4">
      <c r="A423">
        <v>411</v>
      </c>
      <c r="B423">
        <f t="shared" si="58"/>
        <v>4.0561122244489001</v>
      </c>
      <c r="C423">
        <f t="shared" si="59"/>
        <v>32.751595082352196</v>
      </c>
      <c r="D423">
        <f t="shared" si="62"/>
        <v>7.0598329648735678</v>
      </c>
      <c r="E423">
        <f t="shared" si="60"/>
        <v>0.12290577508278487</v>
      </c>
      <c r="F423">
        <f t="shared" si="61"/>
        <v>39.663069398839781</v>
      </c>
      <c r="G423">
        <f t="shared" si="54"/>
        <v>16.301618216983108</v>
      </c>
      <c r="H423">
        <f t="shared" si="55"/>
        <v>31.211368503952038</v>
      </c>
      <c r="J423">
        <f t="shared" si="56"/>
        <v>0.40561122244489001</v>
      </c>
      <c r="K423">
        <f t="shared" si="57"/>
        <v>3.2751595082352196</v>
      </c>
      <c r="L423">
        <v>0</v>
      </c>
    </row>
    <row r="424" spans="1:12" x14ac:dyDescent="0.4">
      <c r="A424">
        <v>412</v>
      </c>
      <c r="B424">
        <f t="shared" si="58"/>
        <v>4.0100200400801604</v>
      </c>
      <c r="C424">
        <f t="shared" si="59"/>
        <v>32.738115371288963</v>
      </c>
      <c r="D424">
        <f t="shared" si="62"/>
        <v>6.9832493231251656</v>
      </c>
      <c r="E424">
        <f t="shared" si="60"/>
        <v>0.1215791629035594</v>
      </c>
      <c r="F424">
        <f t="shared" si="61"/>
        <v>39.29420559789196</v>
      </c>
      <c r="G424">
        <f t="shared" si="54"/>
        <v>16.155478137383398</v>
      </c>
      <c r="H424">
        <f t="shared" si="55"/>
        <v>30.800328564594924</v>
      </c>
      <c r="J424">
        <f t="shared" si="56"/>
        <v>0.40100200400801606</v>
      </c>
      <c r="K424">
        <f t="shared" si="57"/>
        <v>3.2738115371288963</v>
      </c>
      <c r="L424">
        <v>0</v>
      </c>
    </row>
    <row r="425" spans="1:12" x14ac:dyDescent="0.4">
      <c r="A425">
        <v>413</v>
      </c>
      <c r="B425">
        <f t="shared" si="58"/>
        <v>3.9639278557114199</v>
      </c>
      <c r="C425">
        <f t="shared" si="59"/>
        <v>32.724763184246804</v>
      </c>
      <c r="D425">
        <f t="shared" si="62"/>
        <v>6.9065508197507093</v>
      </c>
      <c r="E425">
        <f t="shared" si="60"/>
        <v>0.12025034334500349</v>
      </c>
      <c r="F425">
        <f t="shared" si="61"/>
        <v>38.923438968394976</v>
      </c>
      <c r="G425">
        <f t="shared" si="54"/>
        <v>16.008444074322135</v>
      </c>
      <c r="H425">
        <f t="shared" si="55"/>
        <v>30.391593805270823</v>
      </c>
      <c r="J425">
        <f t="shared" si="56"/>
        <v>0.39639278557114199</v>
      </c>
      <c r="K425">
        <f t="shared" si="57"/>
        <v>3.2724763184246806</v>
      </c>
      <c r="L425">
        <v>0</v>
      </c>
    </row>
    <row r="426" spans="1:12" x14ac:dyDescent="0.4">
      <c r="A426">
        <v>414</v>
      </c>
      <c r="B426">
        <f t="shared" si="58"/>
        <v>3.9178356713426798</v>
      </c>
      <c r="C426">
        <f t="shared" si="59"/>
        <v>32.711539111291621</v>
      </c>
      <c r="D426">
        <f t="shared" si="62"/>
        <v>6.8297382950232164</v>
      </c>
      <c r="E426">
        <f t="shared" si="60"/>
        <v>0.11891933237632307</v>
      </c>
      <c r="F426">
        <f t="shared" si="61"/>
        <v>38.550767526596189</v>
      </c>
      <c r="G426">
        <f t="shared" si="54"/>
        <v>15.860514615786487</v>
      </c>
      <c r="H426">
        <f t="shared" si="55"/>
        <v>29.985125523802974</v>
      </c>
      <c r="J426">
        <f t="shared" si="56"/>
        <v>0.39178356713426798</v>
      </c>
      <c r="K426">
        <f t="shared" si="57"/>
        <v>3.2711539111291623</v>
      </c>
      <c r="L426">
        <v>0</v>
      </c>
    </row>
    <row r="427" spans="1:12" x14ac:dyDescent="0.4">
      <c r="A427">
        <v>415</v>
      </c>
      <c r="B427">
        <f t="shared" si="58"/>
        <v>3.87174348697395</v>
      </c>
      <c r="C427">
        <f t="shared" si="59"/>
        <v>32.698443742367388</v>
      </c>
      <c r="D427">
        <f t="shared" si="62"/>
        <v>6.7528126010888503</v>
      </c>
      <c r="E427">
        <f t="shared" si="60"/>
        <v>0.117586146202193</v>
      </c>
      <c r="F427">
        <f t="shared" si="61"/>
        <v>38.176189396938298</v>
      </c>
      <c r="G427">
        <f t="shared" si="54"/>
        <v>15.711688397924725</v>
      </c>
      <c r="H427">
        <f t="shared" si="55"/>
        <v>29.58088532195622</v>
      </c>
      <c r="J427">
        <f t="shared" si="56"/>
        <v>0.38717434869739498</v>
      </c>
      <c r="K427">
        <f t="shared" si="57"/>
        <v>3.2698443742367389</v>
      </c>
      <c r="L427">
        <v>0</v>
      </c>
    </row>
    <row r="428" spans="1:12" x14ac:dyDescent="0.4">
      <c r="A428">
        <v>416</v>
      </c>
      <c r="B428">
        <f t="shared" si="58"/>
        <v>3.8256513026052099</v>
      </c>
      <c r="C428">
        <f t="shared" si="59"/>
        <v>32.685477667292083</v>
      </c>
      <c r="D428">
        <f t="shared" si="62"/>
        <v>6.6757746019732327</v>
      </c>
      <c r="E428">
        <f t="shared" si="60"/>
        <v>0.11625080126288249</v>
      </c>
      <c r="F428">
        <f t="shared" si="61"/>
        <v>37.79970281335909</v>
      </c>
      <c r="G428">
        <f t="shared" si="54"/>
        <v>15.56196410569293</v>
      </c>
      <c r="H428">
        <f t="shared" si="55"/>
        <v>29.178835097163603</v>
      </c>
      <c r="J428">
        <f t="shared" si="56"/>
        <v>0.38256513026052097</v>
      </c>
      <c r="K428">
        <f t="shared" si="57"/>
        <v>3.2685477667292084</v>
      </c>
      <c r="L428">
        <v>0</v>
      </c>
    </row>
    <row r="429" spans="1:12" x14ac:dyDescent="0.4">
      <c r="A429">
        <v>417</v>
      </c>
      <c r="B429">
        <f t="shared" si="58"/>
        <v>3.7795591182364698</v>
      </c>
      <c r="C429">
        <f t="shared" si="59"/>
        <v>32.672641475754148</v>
      </c>
      <c r="D429">
        <f t="shared" si="62"/>
        <v>6.5986251735862584</v>
      </c>
      <c r="E429">
        <f t="shared" si="60"/>
        <v>0.11491331423434702</v>
      </c>
      <c r="F429">
        <f t="shared" si="61"/>
        <v>37.421306120587985</v>
      </c>
      <c r="G429">
        <f t="shared" si="54"/>
        <v>15.411340473500864</v>
      </c>
      <c r="H429">
        <f t="shared" si="55"/>
        <v>28.778937034301119</v>
      </c>
      <c r="J429">
        <f t="shared" si="56"/>
        <v>0.37795591182364696</v>
      </c>
      <c r="K429">
        <f t="shared" si="57"/>
        <v>3.2672641475754149</v>
      </c>
      <c r="L429">
        <v>0</v>
      </c>
    </row>
    <row r="430" spans="1:12" x14ac:dyDescent="0.4">
      <c r="A430">
        <v>418</v>
      </c>
      <c r="B430">
        <f t="shared" si="58"/>
        <v>3.73346693386774</v>
      </c>
      <c r="C430">
        <f t="shared" si="59"/>
        <v>32.659935757309384</v>
      </c>
      <c r="D430">
        <f t="shared" si="62"/>
        <v>6.5213652037251109</v>
      </c>
      <c r="E430">
        <f t="shared" si="60"/>
        <v>0.1135737020282815</v>
      </c>
      <c r="F430">
        <f t="shared" si="61"/>
        <v>37.040997775436807</v>
      </c>
      <c r="G430">
        <f t="shared" si="54"/>
        <v>15.259816285855848</v>
      </c>
      <c r="H430">
        <f t="shared" si="55"/>
        <v>28.381153597504273</v>
      </c>
      <c r="J430">
        <f t="shared" si="56"/>
        <v>0.37334669338677401</v>
      </c>
      <c r="K430">
        <f t="shared" si="57"/>
        <v>3.2659935757309384</v>
      </c>
      <c r="L430">
        <v>0</v>
      </c>
    </row>
    <row r="431" spans="1:12" x14ac:dyDescent="0.4">
      <c r="A431">
        <v>419</v>
      </c>
      <c r="B431">
        <f t="shared" si="58"/>
        <v>3.6873747494989999</v>
      </c>
      <c r="C431">
        <f t="shared" si="59"/>
        <v>32.647361101378358</v>
      </c>
      <c r="D431">
        <f t="shared" si="62"/>
        <v>6.4439955920756038</v>
      </c>
      <c r="E431">
        <f t="shared" si="60"/>
        <v>0.11223198179213718</v>
      </c>
      <c r="F431">
        <f t="shared" si="61"/>
        <v>36.658776348085411</v>
      </c>
      <c r="G431">
        <f t="shared" si="54"/>
        <v>15.107390378004904</v>
      </c>
      <c r="H431">
        <f t="shared" si="55"/>
        <v>27.98544752202395</v>
      </c>
      <c r="J431">
        <f t="shared" si="56"/>
        <v>0.3687374749499</v>
      </c>
      <c r="K431">
        <f t="shared" si="57"/>
        <v>3.2647361101378358</v>
      </c>
      <c r="L431">
        <v>0</v>
      </c>
    </row>
    <row r="432" spans="1:12" x14ac:dyDescent="0.4">
      <c r="A432">
        <v>420</v>
      </c>
      <c r="B432">
        <f t="shared" si="58"/>
        <v>3.6412825651302598</v>
      </c>
      <c r="C432">
        <f t="shared" si="59"/>
        <v>32.634918097244324</v>
      </c>
      <c r="D432">
        <f t="shared" si="62"/>
        <v>6.3665172502119969</v>
      </c>
      <c r="E432">
        <f t="shared" si="60"/>
        <v>0.11088817090910402</v>
      </c>
      <c r="F432">
        <f t="shared" si="61"/>
        <v>36.274640523362564</v>
      </c>
      <c r="G432">
        <f t="shared" si="54"/>
        <v>14.954061636575283</v>
      </c>
      <c r="H432">
        <f t="shared" si="55"/>
        <v>27.591781806118501</v>
      </c>
      <c r="J432">
        <f t="shared" si="56"/>
        <v>0.36412825651302599</v>
      </c>
      <c r="K432">
        <f t="shared" si="57"/>
        <v>3.2634918097244325</v>
      </c>
      <c r="L432">
        <v>0</v>
      </c>
    </row>
    <row r="433" spans="1:12" x14ac:dyDescent="0.4">
      <c r="A433">
        <v>421</v>
      </c>
      <c r="B433">
        <f t="shared" si="58"/>
        <v>3.5951903807615202</v>
      </c>
      <c r="C433">
        <f t="shared" si="59"/>
        <v>32.622607334051622</v>
      </c>
      <c r="D433">
        <f t="shared" si="62"/>
        <v>6.2889311015949598</v>
      </c>
      <c r="E433">
        <f t="shared" si="60"/>
        <v>0.10954228699805363</v>
      </c>
      <c r="F433">
        <f t="shared" si="61"/>
        <v>35.888589102020205</v>
      </c>
      <c r="G433">
        <f t="shared" si="54"/>
        <v>14.799829000212622</v>
      </c>
      <c r="H433">
        <f t="shared" si="55"/>
        <v>27.200119702976522</v>
      </c>
      <c r="J433">
        <f t="shared" si="56"/>
        <v>0.35951903807615204</v>
      </c>
      <c r="K433">
        <f t="shared" si="57"/>
        <v>3.2622607334051623</v>
      </c>
      <c r="L433">
        <v>0</v>
      </c>
    </row>
    <row r="434" spans="1:12" x14ac:dyDescent="0.4">
      <c r="A434">
        <v>422</v>
      </c>
      <c r="B434">
        <f t="shared" si="58"/>
        <v>3.5490981963927899</v>
      </c>
      <c r="C434">
        <f t="shared" si="59"/>
        <v>32.610429400804605</v>
      </c>
      <c r="D434">
        <f t="shared" si="62"/>
        <v>6.2112380815679371</v>
      </c>
      <c r="E434">
        <f t="shared" si="60"/>
        <v>0.1081943479134462</v>
      </c>
      <c r="F434">
        <f t="shared" si="61"/>
        <v>35.500621002002077</v>
      </c>
      <c r="G434">
        <f t="shared" si="54"/>
        <v>14.64469146021707</v>
      </c>
      <c r="H434">
        <f t="shared" si="55"/>
        <v>26.810424712668183</v>
      </c>
      <c r="J434">
        <f t="shared" si="56"/>
        <v>0.35490981963927898</v>
      </c>
      <c r="K434">
        <f t="shared" si="57"/>
        <v>3.2610429400804604</v>
      </c>
      <c r="L434">
        <v>0</v>
      </c>
    </row>
    <row r="435" spans="1:12" x14ac:dyDescent="0.4">
      <c r="A435">
        <v>423</v>
      </c>
      <c r="B435">
        <f t="shared" si="58"/>
        <v>3.5030060120240498</v>
      </c>
      <c r="C435">
        <f t="shared" si="59"/>
        <v>32.598384886367086</v>
      </c>
      <c r="D435">
        <f t="shared" si="62"/>
        <v>6.1334391373517088</v>
      </c>
      <c r="E435">
        <f t="shared" si="60"/>
        <v>0.10684437174519883</v>
      </c>
      <c r="F435">
        <f t="shared" si="61"/>
        <v>35.110735259705137</v>
      </c>
      <c r="G435">
        <f t="shared" si="54"/>
        <v>14.488648061176715</v>
      </c>
      <c r="H435">
        <f t="shared" si="55"/>
        <v>26.422660574119693</v>
      </c>
      <c r="J435">
        <f t="shared" si="56"/>
        <v>0.35030060120240497</v>
      </c>
      <c r="K435">
        <f t="shared" si="57"/>
        <v>3.2598384886367087</v>
      </c>
      <c r="L435">
        <v>0</v>
      </c>
    </row>
    <row r="436" spans="1:12" x14ac:dyDescent="0.4">
      <c r="A436">
        <v>424</v>
      </c>
      <c r="B436">
        <f t="shared" si="58"/>
        <v>3.4569138276553102</v>
      </c>
      <c r="C436">
        <f t="shared" si="59"/>
        <v>32.586474379462295</v>
      </c>
      <c r="D436">
        <f t="shared" si="62"/>
        <v>6.0555352280374084</v>
      </c>
      <c r="E436">
        <f t="shared" si="60"/>
        <v>0.10549237681851853</v>
      </c>
      <c r="F436">
        <f t="shared" si="61"/>
        <v>34.718931031235144</v>
      </c>
      <c r="G436">
        <f t="shared" si="54"/>
        <v>14.331697901598869</v>
      </c>
      <c r="H436">
        <f t="shared" si="55"/>
        <v>26.036791257109002</v>
      </c>
      <c r="J436">
        <f t="shared" si="56"/>
        <v>0.34569138276553102</v>
      </c>
      <c r="K436">
        <f t="shared" si="57"/>
        <v>3.2586474379462294</v>
      </c>
      <c r="L436">
        <v>0</v>
      </c>
    </row>
    <row r="437" spans="1:12" x14ac:dyDescent="0.4">
      <c r="A437">
        <v>425</v>
      </c>
      <c r="B437">
        <f t="shared" si="58"/>
        <v>3.4108216432865701</v>
      </c>
      <c r="C437">
        <f t="shared" si="59"/>
        <v>32.574698468673375</v>
      </c>
      <c r="D437">
        <f t="shared" si="62"/>
        <v>5.9775273245776583</v>
      </c>
      <c r="E437">
        <f t="shared" si="60"/>
        <v>0.10413838169369499</v>
      </c>
      <c r="F437">
        <f t="shared" si="61"/>
        <v>34.32520759365417</v>
      </c>
      <c r="G437">
        <f t="shared" si="54"/>
        <v>14.173840134538256</v>
      </c>
      <c r="H437">
        <f t="shared" si="55"/>
        <v>25.652780954276761</v>
      </c>
      <c r="J437">
        <f t="shared" si="56"/>
        <v>0.34108216432865701</v>
      </c>
      <c r="K437">
        <f t="shared" si="57"/>
        <v>3.2574698468673375</v>
      </c>
      <c r="L437">
        <v>0</v>
      </c>
    </row>
    <row r="438" spans="1:12" x14ac:dyDescent="0.4">
      <c r="A438">
        <v>426</v>
      </c>
      <c r="B438">
        <f t="shared" si="58"/>
        <v>3.3647294589178398</v>
      </c>
      <c r="C438">
        <f t="shared" si="59"/>
        <v>32.563057742444421</v>
      </c>
      <c r="D438">
        <f t="shared" si="62"/>
        <v>5.8994164097760704</v>
      </c>
      <c r="E438">
        <f t="shared" si="60"/>
        <v>0.10278240516585659</v>
      </c>
      <c r="F438">
        <f t="shared" si="61"/>
        <v>33.929564346220957</v>
      </c>
      <c r="G438">
        <f t="shared" si="54"/>
        <v>14.015073968222444</v>
      </c>
      <c r="H438">
        <f t="shared" si="55"/>
        <v>25.270594073150015</v>
      </c>
      <c r="J438">
        <f t="shared" si="56"/>
        <v>0.336472945891784</v>
      </c>
      <c r="K438">
        <f t="shared" si="57"/>
        <v>3.2563057742444421</v>
      </c>
      <c r="L438">
        <v>0</v>
      </c>
    </row>
    <row r="439" spans="1:12" x14ac:dyDescent="0.4">
      <c r="A439">
        <v>427</v>
      </c>
      <c r="B439">
        <f t="shared" si="58"/>
        <v>3.3186372745491002</v>
      </c>
      <c r="C439">
        <f t="shared" si="59"/>
        <v>32.551552789082031</v>
      </c>
      <c r="D439">
        <f t="shared" si="62"/>
        <v>5.8212034782749349</v>
      </c>
      <c r="E439">
        <f t="shared" si="60"/>
        <v>0.10142446626468692</v>
      </c>
      <c r="F439">
        <f t="shared" si="61"/>
        <v>33.53200081162305</v>
      </c>
      <c r="G439">
        <f t="shared" si="54"/>
        <v>13.855398666674057</v>
      </c>
      <c r="H439">
        <f t="shared" si="55"/>
        <v>24.890195228173756</v>
      </c>
      <c r="J439">
        <f t="shared" si="56"/>
        <v>0.33186372745491</v>
      </c>
      <c r="K439">
        <f t="shared" si="57"/>
        <v>3.255155278908203</v>
      </c>
      <c r="L439">
        <v>0</v>
      </c>
    </row>
    <row r="440" spans="1:12" x14ac:dyDescent="0.4">
      <c r="A440">
        <v>428</v>
      </c>
      <c r="B440">
        <f t="shared" si="58"/>
        <v>3.2725450901803601</v>
      </c>
      <c r="C440">
        <f t="shared" si="59"/>
        <v>32.540184196757458</v>
      </c>
      <c r="D440">
        <f t="shared" si="62"/>
        <v>5.7428895365413082</v>
      </c>
      <c r="E440">
        <f t="shared" si="60"/>
        <v>0.10006458425410523</v>
      </c>
      <c r="F440">
        <f t="shared" si="61"/>
        <v>33.132516637201263</v>
      </c>
      <c r="G440">
        <f t="shared" si="54"/>
        <v>13.694813550329977</v>
      </c>
      <c r="H440">
        <f t="shared" si="55"/>
        <v>24.511549232747385</v>
      </c>
      <c r="J440">
        <f t="shared" si="56"/>
        <v>0.32725450901803599</v>
      </c>
      <c r="K440">
        <f t="shared" si="57"/>
        <v>3.254018419675746</v>
      </c>
      <c r="L440">
        <v>0</v>
      </c>
    </row>
    <row r="441" spans="1:12" x14ac:dyDescent="0.4">
      <c r="A441">
        <v>429</v>
      </c>
      <c r="B441">
        <f t="shared" si="58"/>
        <v>3.22645290581162</v>
      </c>
      <c r="C441">
        <f t="shared" si="59"/>
        <v>32.528952553509264</v>
      </c>
      <c r="D441">
        <f t="shared" si="62"/>
        <v>5.6644756028512244</v>
      </c>
      <c r="E441">
        <f t="shared" si="60"/>
        <v>9.8702778631906074E-2</v>
      </c>
      <c r="F441">
        <f t="shared" si="61"/>
        <v>32.731111596165135</v>
      </c>
      <c r="G441">
        <f t="shared" si="54"/>
        <v>13.533317996656955</v>
      </c>
      <c r="H441">
        <f t="shared" si="55"/>
        <v>24.134621091260765</v>
      </c>
      <c r="J441">
        <f t="shared" si="56"/>
        <v>0.32264529058116198</v>
      </c>
      <c r="K441">
        <f t="shared" si="57"/>
        <v>3.2528952553509263</v>
      </c>
      <c r="L441">
        <v>0</v>
      </c>
    </row>
    <row r="442" spans="1:12" x14ac:dyDescent="0.4">
      <c r="A442">
        <v>430</v>
      </c>
      <c r="B442">
        <f t="shared" si="58"/>
        <v>3.1803607214428902</v>
      </c>
      <c r="C442">
        <f t="shared" si="59"/>
        <v>32.517858447246546</v>
      </c>
      <c r="D442">
        <f t="shared" si="62"/>
        <v>5.585962707272242</v>
      </c>
      <c r="E442">
        <f t="shared" si="60"/>
        <v>9.7339069129361494E-2</v>
      </c>
      <c r="F442">
        <f t="shared" si="61"/>
        <v>32.327785588799543</v>
      </c>
      <c r="G442">
        <f t="shared" si="54"/>
        <v>13.370911440763651</v>
      </c>
      <c r="H442">
        <f t="shared" si="55"/>
        <v>23.759375991126554</v>
      </c>
      <c r="J442">
        <f t="shared" si="56"/>
        <v>0.31803607214428903</v>
      </c>
      <c r="K442">
        <f t="shared" si="57"/>
        <v>3.2517858447246546</v>
      </c>
      <c r="L442">
        <v>0</v>
      </c>
    </row>
    <row r="443" spans="1:12" x14ac:dyDescent="0.4">
      <c r="A443">
        <v>431</v>
      </c>
      <c r="B443">
        <f t="shared" si="58"/>
        <v>3.1342685370741501</v>
      </c>
      <c r="C443">
        <f t="shared" si="59"/>
        <v>32.506902465752745</v>
      </c>
      <c r="D443">
        <f t="shared" si="62"/>
        <v>5.5073518916441433</v>
      </c>
      <c r="E443">
        <f t="shared" si="60"/>
        <v>9.5973475710783046E-2</v>
      </c>
      <c r="F443">
        <f t="shared" si="61"/>
        <v>31.922538643661767</v>
      </c>
      <c r="G443">
        <f t="shared" si="54"/>
        <v>13.207593376008813</v>
      </c>
      <c r="H443">
        <f t="shared" si="55"/>
        <v>23.385779294803971</v>
      </c>
      <c r="J443">
        <f t="shared" si="56"/>
        <v>0.31342685370741502</v>
      </c>
      <c r="K443">
        <f t="shared" si="57"/>
        <v>3.2506902465752745</v>
      </c>
      <c r="L443">
        <v>0</v>
      </c>
    </row>
    <row r="444" spans="1:12" x14ac:dyDescent="0.4">
      <c r="A444">
        <v>432</v>
      </c>
      <c r="B444">
        <f t="shared" si="58"/>
        <v>3.08817635270541</v>
      </c>
      <c r="C444">
        <f t="shared" si="59"/>
        <v>32.496085196690004</v>
      </c>
      <c r="D444">
        <f t="shared" si="62"/>
        <v>5.4286442095580529</v>
      </c>
      <c r="E444">
        <f t="shared" si="60"/>
        <v>9.4606018573047512E-2</v>
      </c>
      <c r="F444">
        <f t="shared" si="61"/>
        <v>31.515370918769719</v>
      </c>
      <c r="G444">
        <f t="shared" si="54"/>
        <v>13.043363354605834</v>
      </c>
      <c r="H444">
        <f t="shared" si="55"/>
        <v>23.013796531810979</v>
      </c>
      <c r="J444">
        <f t="shared" si="56"/>
        <v>0.30881763527054101</v>
      </c>
      <c r="K444">
        <f t="shared" si="57"/>
        <v>3.2496085196690006</v>
      </c>
      <c r="L444">
        <v>0</v>
      </c>
    </row>
    <row r="445" spans="1:12" x14ac:dyDescent="0.4">
      <c r="A445">
        <v>433</v>
      </c>
      <c r="B445">
        <f t="shared" si="58"/>
        <v>3.0420841683366699</v>
      </c>
      <c r="C445">
        <f t="shared" si="59"/>
        <v>32.485407227604107</v>
      </c>
      <c r="D445">
        <f t="shared" si="62"/>
        <v>5.3498407263336238</v>
      </c>
      <c r="E445">
        <f t="shared" si="60"/>
        <v>9.3236718145080846E-2</v>
      </c>
      <c r="F445">
        <f t="shared" si="61"/>
        <v>31.106282702779396</v>
      </c>
      <c r="G445">
        <f t="shared" si="54"/>
        <v>12.878220988222886</v>
      </c>
      <c r="H445">
        <f t="shared" si="55"/>
        <v>22.643393390718835</v>
      </c>
      <c r="J445">
        <f t="shared" si="56"/>
        <v>0.30420841683366701</v>
      </c>
      <c r="K445">
        <f t="shared" si="57"/>
        <v>3.2485407227604108</v>
      </c>
      <c r="L445">
        <v>0</v>
      </c>
    </row>
    <row r="446" spans="1:12" x14ac:dyDescent="0.4">
      <c r="A446">
        <v>434</v>
      </c>
      <c r="B446">
        <f t="shared" si="58"/>
        <v>2.9959919839679401</v>
      </c>
      <c r="C446">
        <f t="shared" si="59"/>
        <v>32.474869145930008</v>
      </c>
      <c r="D446">
        <f t="shared" si="62"/>
        <v>5.2709425189945796</v>
      </c>
      <c r="E446">
        <f t="shared" si="60"/>
        <v>9.186559508730481E-2</v>
      </c>
      <c r="F446">
        <f t="shared" si="61"/>
        <v>30.695274416152614</v>
      </c>
      <c r="G446">
        <f t="shared" si="54"/>
        <v>12.712165948579017</v>
      </c>
      <c r="H446">
        <f t="shared" si="55"/>
        <v>22.274535711126166</v>
      </c>
      <c r="J446">
        <f t="shared" si="56"/>
        <v>0.299599198396794</v>
      </c>
      <c r="K446">
        <f t="shared" si="57"/>
        <v>3.2474869145930008</v>
      </c>
      <c r="L446">
        <v>0</v>
      </c>
    </row>
    <row r="447" spans="1:12" x14ac:dyDescent="0.4">
      <c r="A447">
        <v>435</v>
      </c>
      <c r="B447">
        <f t="shared" si="58"/>
        <v>2.9498997995992</v>
      </c>
      <c r="C447">
        <f t="shared" si="59"/>
        <v>32.464471538997905</v>
      </c>
      <c r="D447">
        <f t="shared" si="62"/>
        <v>5.1919506762423726</v>
      </c>
      <c r="E447">
        <f t="shared" si="60"/>
        <v>9.0492670291042368E-2</v>
      </c>
      <c r="F447">
        <f t="shared" si="61"/>
        <v>30.282346612313177</v>
      </c>
      <c r="G447">
        <f t="shared" si="54"/>
        <v>12.545197968035403</v>
      </c>
      <c r="H447">
        <f t="shared" si="55"/>
        <v>21.907189475606465</v>
      </c>
      <c r="J447">
        <f t="shared" si="56"/>
        <v>0.29498997995991999</v>
      </c>
      <c r="K447">
        <f t="shared" si="57"/>
        <v>3.2464471538997905</v>
      </c>
      <c r="L447">
        <v>0</v>
      </c>
    </row>
    <row r="448" spans="1:12" x14ac:dyDescent="0.4">
      <c r="A448">
        <v>436</v>
      </c>
      <c r="B448">
        <f t="shared" si="58"/>
        <v>2.9038076152304599</v>
      </c>
      <c r="C448">
        <f t="shared" si="59"/>
        <v>32.454214994039951</v>
      </c>
      <c r="D448">
        <f t="shared" si="62"/>
        <v>5.112866298428278</v>
      </c>
      <c r="E448">
        <f t="shared" si="60"/>
        <v>8.9117964877887132E-2</v>
      </c>
      <c r="F448">
        <f t="shared" si="61"/>
        <v>29.867499978793603</v>
      </c>
      <c r="G448">
        <f t="shared" si="54"/>
        <v>12.377316840182662</v>
      </c>
      <c r="H448">
        <f t="shared" si="55"/>
        <v>21.541320801626895</v>
      </c>
      <c r="J448">
        <f t="shared" si="56"/>
        <v>0.29038076152304598</v>
      </c>
      <c r="K448">
        <f t="shared" si="57"/>
        <v>3.2454214994039949</v>
      </c>
      <c r="L448">
        <v>0</v>
      </c>
    </row>
    <row r="449" spans="1:12" x14ac:dyDescent="0.4">
      <c r="A449">
        <v>437</v>
      </c>
      <c r="B449">
        <f t="shared" si="58"/>
        <v>2.8577154308617199</v>
      </c>
      <c r="C449">
        <f t="shared" si="59"/>
        <v>32.444100098197531</v>
      </c>
      <c r="D449">
        <f t="shared" si="62"/>
        <v>5.0336904975235317</v>
      </c>
      <c r="E449">
        <f t="shared" si="60"/>
        <v>8.7741500199030278E-2</v>
      </c>
      <c r="F449">
        <f t="shared" si="61"/>
        <v>29.450735338369043</v>
      </c>
      <c r="G449">
        <f t="shared" si="54"/>
        <v>12.208522420422756</v>
      </c>
      <c r="H449">
        <f t="shared" si="55"/>
        <v>21.176895933430863</v>
      </c>
      <c r="J449">
        <f t="shared" si="56"/>
        <v>0.28577154308617198</v>
      </c>
      <c r="K449">
        <f t="shared" si="57"/>
        <v>3.2444100098197532</v>
      </c>
      <c r="L449">
        <v>0</v>
      </c>
    </row>
    <row r="450" spans="1:12" x14ac:dyDescent="0.4">
      <c r="A450">
        <v>438</v>
      </c>
      <c r="B450">
        <f t="shared" si="58"/>
        <v>2.81162324649299</v>
      </c>
      <c r="C450">
        <f t="shared" si="59"/>
        <v>32.434127438529131</v>
      </c>
      <c r="D450">
        <f t="shared" si="62"/>
        <v>4.9544243970878243</v>
      </c>
      <c r="E450">
        <f t="shared" si="60"/>
        <v>8.6363297834550004E-2</v>
      </c>
      <c r="F450">
        <f t="shared" si="61"/>
        <v>29.032053650180245</v>
      </c>
      <c r="G450">
        <f t="shared" si="54"/>
        <v>12.038814626546211</v>
      </c>
      <c r="H450">
        <f t="shared" si="55"/>
        <v>20.813881233881744</v>
      </c>
      <c r="J450">
        <f t="shared" si="56"/>
        <v>0.28116232464929902</v>
      </c>
      <c r="K450">
        <f t="shared" si="57"/>
        <v>3.2434127438529132</v>
      </c>
      <c r="L450">
        <v>0</v>
      </c>
    </row>
    <row r="451" spans="1:12" x14ac:dyDescent="0.4">
      <c r="A451">
        <v>439</v>
      </c>
      <c r="B451">
        <f t="shared" si="58"/>
        <v>2.7655310621242499</v>
      </c>
      <c r="C451">
        <f t="shared" si="59"/>
        <v>32.424297602018839</v>
      </c>
      <c r="D451">
        <f t="shared" si="62"/>
        <v>4.8750691322359163</v>
      </c>
      <c r="E451">
        <f t="shared" si="60"/>
        <v>8.4983379592659697E-2</v>
      </c>
      <c r="F451">
        <f t="shared" si="61"/>
        <v>28.611456010844222</v>
      </c>
      <c r="G451">
        <f t="shared" si="54"/>
        <v>11.868193439304154</v>
      </c>
      <c r="H451">
        <f t="shared" si="55"/>
        <v>20.452243176261845</v>
      </c>
      <c r="J451">
        <f t="shared" si="56"/>
        <v>0.27655310621242502</v>
      </c>
      <c r="K451">
        <f t="shared" si="57"/>
        <v>3.2424297602018841</v>
      </c>
      <c r="L451">
        <v>0</v>
      </c>
    </row>
    <row r="452" spans="1:12" x14ac:dyDescent="0.4">
      <c r="A452">
        <v>440</v>
      </c>
      <c r="B452">
        <f t="shared" si="58"/>
        <v>2.7194388777555099</v>
      </c>
      <c r="C452">
        <f t="shared" si="59"/>
        <v>32.414611175585399</v>
      </c>
      <c r="D452">
        <f t="shared" si="62"/>
        <v>4.7956258496026871</v>
      </c>
      <c r="E452">
        <f t="shared" si="60"/>
        <v>8.3601767508920011E-2</v>
      </c>
      <c r="F452">
        <f t="shared" si="61"/>
        <v>28.188943655553032</v>
      </c>
      <c r="G452">
        <f t="shared" si="54"/>
        <v>11.696658902975173</v>
      </c>
      <c r="H452">
        <f t="shared" si="55"/>
        <v>20.091948336022515</v>
      </c>
      <c r="J452">
        <f t="shared" si="56"/>
        <v>0.27194388777555101</v>
      </c>
      <c r="K452">
        <f t="shared" si="57"/>
        <v>3.2414611175585399</v>
      </c>
      <c r="L452">
        <v>0</v>
      </c>
    </row>
    <row r="453" spans="1:12" x14ac:dyDescent="0.4">
      <c r="A453">
        <v>441</v>
      </c>
      <c r="B453">
        <f t="shared" si="58"/>
        <v>2.6733466933867698</v>
      </c>
      <c r="C453">
        <f t="shared" si="59"/>
        <v>32.405068746091935</v>
      </c>
      <c r="D453">
        <f t="shared" si="62"/>
        <v>4.7160957073062253</v>
      </c>
      <c r="E453">
        <f t="shared" si="60"/>
        <v>8.2218483845408086E-2</v>
      </c>
      <c r="F453">
        <f t="shared" si="61"/>
        <v>27.764517959159292</v>
      </c>
      <c r="G453">
        <f t="shared" si="54"/>
        <v>11.524211125926534</v>
      </c>
      <c r="H453">
        <f t="shared" si="55"/>
        <v>19.732963382479259</v>
      </c>
      <c r="J453">
        <f t="shared" si="56"/>
        <v>0.267334669338677</v>
      </c>
      <c r="K453">
        <f t="shared" si="57"/>
        <v>3.2405068746091934</v>
      </c>
      <c r="L453">
        <v>0</v>
      </c>
    </row>
    <row r="454" spans="1:12" x14ac:dyDescent="0.4">
      <c r="A454">
        <v>442</v>
      </c>
      <c r="B454">
        <f t="shared" si="58"/>
        <v>2.6272545090180399</v>
      </c>
      <c r="C454">
        <f t="shared" si="59"/>
        <v>32.39567090035623</v>
      </c>
      <c r="D454">
        <f t="shared" si="62"/>
        <v>4.6364798749092895</v>
      </c>
      <c r="E454">
        <f t="shared" si="60"/>
        <v>8.0833551089849645E-2</v>
      </c>
      <c r="F454">
        <f t="shared" si="61"/>
        <v>27.33818043724915</v>
      </c>
      <c r="G454">
        <f t="shared" si="54"/>
        <v>11.350850281169929</v>
      </c>
      <c r="H454">
        <f t="shared" si="55"/>
        <v>19.375255070447725</v>
      </c>
      <c r="J454">
        <f t="shared" si="56"/>
        <v>0.26272545090180399</v>
      </c>
      <c r="K454">
        <f t="shared" si="57"/>
        <v>3.239567090035623</v>
      </c>
      <c r="L454">
        <v>0</v>
      </c>
    </row>
    <row r="455" spans="1:12" x14ac:dyDescent="0.4">
      <c r="A455">
        <v>443</v>
      </c>
      <c r="B455">
        <f t="shared" si="58"/>
        <v>2.5811623246492998</v>
      </c>
      <c r="C455">
        <f t="shared" si="59"/>
        <v>32.386418225161663</v>
      </c>
      <c r="D455">
        <f t="shared" si="62"/>
        <v>4.5567795333788954</v>
      </c>
      <c r="E455">
        <f t="shared" si="60"/>
        <v>7.944699195470957E-2</v>
      </c>
      <c r="F455">
        <f t="shared" si="61"/>
        <v>26.909932747201225</v>
      </c>
      <c r="G455">
        <f t="shared" si="54"/>
        <v>11.176576606911166</v>
      </c>
      <c r="H455">
        <f t="shared" si="55"/>
        <v>19.018790231814176</v>
      </c>
      <c r="J455">
        <f t="shared" si="56"/>
        <v>0.25811623246492998</v>
      </c>
      <c r="K455">
        <f t="shared" si="57"/>
        <v>3.2386418225161662</v>
      </c>
      <c r="L455">
        <v>0</v>
      </c>
    </row>
    <row r="456" spans="1:12" x14ac:dyDescent="0.4">
      <c r="A456">
        <v>444</v>
      </c>
      <c r="B456">
        <f t="shared" si="58"/>
        <v>2.5350701402805602</v>
      </c>
      <c r="C456">
        <f t="shared" si="59"/>
        <v>32.377311307268755</v>
      </c>
      <c r="D456">
        <f t="shared" si="62"/>
        <v>4.4769958750443388</v>
      </c>
      <c r="E456">
        <f t="shared" si="60"/>
        <v>7.8058829376246502E-2</v>
      </c>
      <c r="F456">
        <f t="shared" si="61"/>
        <v>26.479776689233034</v>
      </c>
      <c r="G456">
        <f t="shared" si="54"/>
        <v>11.001390407094348</v>
      </c>
      <c r="H456">
        <f t="shared" si="55"/>
        <v>18.663535767036691</v>
      </c>
      <c r="J456">
        <f t="shared" si="56"/>
        <v>0.25350701402805603</v>
      </c>
      <c r="K456">
        <f t="shared" si="57"/>
        <v>3.2377311307268757</v>
      </c>
      <c r="L456">
        <v>0</v>
      </c>
    </row>
    <row r="457" spans="1:12" x14ac:dyDescent="0.4">
      <c r="A457">
        <v>445</v>
      </c>
      <c r="B457">
        <f t="shared" si="58"/>
        <v>2.4889779559118201</v>
      </c>
      <c r="C457">
        <f t="shared" si="59"/>
        <v>32.368350733427327</v>
      </c>
      <c r="D457">
        <f t="shared" si="62"/>
        <v>4.3971301035532848</v>
      </c>
      <c r="E457">
        <f t="shared" si="60"/>
        <v>7.666908651352479E-2</v>
      </c>
      <c r="F457">
        <f t="shared" si="61"/>
        <v>26.047714207432193</v>
      </c>
      <c r="G457">
        <f t="shared" si="54"/>
        <v>10.825292051939455</v>
      </c>
      <c r="H457">
        <f t="shared" si="55"/>
        <v>18.309458636569399</v>
      </c>
      <c r="J457">
        <f t="shared" si="56"/>
        <v>0.24889779559118203</v>
      </c>
      <c r="K457">
        <f t="shared" si="57"/>
        <v>3.2368350733427329</v>
      </c>
      <c r="L457">
        <v>0</v>
      </c>
    </row>
    <row r="458" spans="1:12" x14ac:dyDescent="0.4">
      <c r="A458">
        <v>446</v>
      </c>
      <c r="B458">
        <f t="shared" si="58"/>
        <v>2.4428857715430898</v>
      </c>
      <c r="C458">
        <f t="shared" si="59"/>
        <v>32.359537090389281</v>
      </c>
      <c r="D458">
        <f t="shared" si="62"/>
        <v>4.3171834338262327</v>
      </c>
      <c r="E458">
        <f t="shared" si="60"/>
        <v>7.5277786747389511E-2</v>
      </c>
      <c r="F458">
        <f t="shared" si="61"/>
        <v>25.61374739077408</v>
      </c>
      <c r="G458">
        <f t="shared" si="54"/>
        <v>10.648281978473923</v>
      </c>
      <c r="H458">
        <f t="shared" si="55"/>
        <v>17.956525852205754</v>
      </c>
      <c r="J458">
        <f t="shared" si="56"/>
        <v>0.24428857715430899</v>
      </c>
      <c r="K458">
        <f t="shared" si="57"/>
        <v>3.2359537090389283</v>
      </c>
      <c r="L458">
        <v>0</v>
      </c>
    </row>
    <row r="459" spans="1:12" x14ac:dyDescent="0.4">
      <c r="A459">
        <v>447</v>
      </c>
      <c r="B459">
        <f t="shared" si="58"/>
        <v>2.3967935871743502</v>
      </c>
      <c r="C459">
        <f t="shared" si="59"/>
        <v>32.350870964922038</v>
      </c>
      <c r="D459">
        <f t="shared" si="62"/>
        <v>4.2371570920091335</v>
      </c>
      <c r="E459">
        <f t="shared" si="60"/>
        <v>7.3884953679400192E-2</v>
      </c>
      <c r="F459">
        <f t="shared" si="61"/>
        <v>25.177878474124157</v>
      </c>
      <c r="G459">
        <f t="shared" si="54"/>
        <v>10.470360691057511</v>
      </c>
      <c r="H459">
        <f t="shared" si="55"/>
        <v>17.604704468333836</v>
      </c>
      <c r="J459">
        <f t="shared" si="56"/>
        <v>0.23967935871743501</v>
      </c>
      <c r="K459">
        <f t="shared" si="57"/>
        <v>3.2350870964922036</v>
      </c>
      <c r="L459">
        <v>0</v>
      </c>
    </row>
    <row r="460" spans="1:12" x14ac:dyDescent="0.4">
      <c r="A460">
        <v>448</v>
      </c>
      <c r="B460">
        <f t="shared" si="58"/>
        <v>2.3507014028056101</v>
      </c>
      <c r="C460">
        <f t="shared" si="59"/>
        <v>32.342352943822569</v>
      </c>
      <c r="D460">
        <f t="shared" si="62"/>
        <v>4.1570523154244441</v>
      </c>
      <c r="E460">
        <f t="shared" si="60"/>
        <v>7.2490611130728647E-2</v>
      </c>
      <c r="F460">
        <f t="shared" si="61"/>
        <v>24.74010983922625</v>
      </c>
      <c r="G460">
        <f t="shared" ref="G460:G523" si="63">IFERROR((-D460+F460)/2,IF($B$2-1=A460,G459,NA()))</f>
        <v>10.291528761900903</v>
      </c>
      <c r="H460">
        <f t="shared" ref="H460:H511" si="64">IF(A460="",NA(),B460+TAN(RADIANS(F460))*C460)</f>
        <v>17.253961573098824</v>
      </c>
      <c r="J460">
        <f t="shared" ref="J460:J511" si="65">IF(A460="",NA(),B460/10)</f>
        <v>0.235070140280561</v>
      </c>
      <c r="K460">
        <f t="shared" ref="K460:K511" si="66">IF(A460="",NA(),C460/10)</f>
        <v>3.2342352943822568</v>
      </c>
      <c r="L460">
        <v>0</v>
      </c>
    </row>
    <row r="461" spans="1:12" x14ac:dyDescent="0.4">
      <c r="A461">
        <v>449</v>
      </c>
      <c r="B461">
        <f t="shared" ref="B461:B511" si="67">IFERROR(ROUND(-$B$6*(A461/($B$2-1)-1),20),IF($B$2-1=A461,0,NA()))</f>
        <v>2.3046092184368701</v>
      </c>
      <c r="C461">
        <f t="shared" ref="C461:C511" si="68">IFERROR(C460-TAN(RADIANS(G460))*$B$3,IF($B$2-1=A461,C460,NA()))</f>
        <v>32.333983613932098</v>
      </c>
      <c r="D461">
        <f t="shared" si="62"/>
        <v>4.0768703525202952</v>
      </c>
      <c r="E461">
        <f t="shared" ref="E461:E511" si="69">IF(A461="",NA(),SIN(RADIANS(D461)))</f>
        <v>7.1094783141014972E-2</v>
      </c>
      <c r="F461">
        <f t="shared" ref="F461:F511" si="70">IF(A461="", NA(), 180-MEDIAN(90, 180, $F$4*D461^2 - ((90+$F$4*$B$4^2)/$B$4)*D461 + 180))</f>
        <v>24.300444015674714</v>
      </c>
      <c r="G461">
        <f t="shared" si="63"/>
        <v>10.111786831577209</v>
      </c>
      <c r="H461">
        <f t="shared" si="64"/>
        <v>16.904264279465096</v>
      </c>
      <c r="J461">
        <f t="shared" si="65"/>
        <v>0.23046092184368699</v>
      </c>
      <c r="K461">
        <f t="shared" si="66"/>
        <v>3.2333983613932098</v>
      </c>
      <c r="L461">
        <v>0</v>
      </c>
    </row>
    <row r="462" spans="1:12" x14ac:dyDescent="0.4">
      <c r="A462">
        <v>450</v>
      </c>
      <c r="B462">
        <f t="shared" si="67"/>
        <v>2.2585170340681402</v>
      </c>
      <c r="C462">
        <f t="shared" si="68"/>
        <v>32.325763562151408</v>
      </c>
      <c r="D462">
        <f t="shared" ref="D462:D511" si="71">IF(A462="",NA(),DEGREES(ATAN(B462/C462)))</f>
        <v>3.9966124628180402</v>
      </c>
      <c r="E462">
        <f t="shared" si="69"/>
        <v>6.9697493967186552E-2</v>
      </c>
      <c r="F462">
        <f t="shared" si="70"/>
        <v>23.858883681871419</v>
      </c>
      <c r="G462">
        <f t="shared" si="63"/>
        <v>9.9311356095266898</v>
      </c>
      <c r="H462">
        <f t="shared" si="64"/>
        <v>16.555579716172559</v>
      </c>
      <c r="J462">
        <f t="shared" si="65"/>
        <v>0.22585170340681401</v>
      </c>
      <c r="K462">
        <f t="shared" si="66"/>
        <v>3.2325763562151408</v>
      </c>
      <c r="L462">
        <v>0</v>
      </c>
    </row>
    <row r="463" spans="1:12" x14ac:dyDescent="0.4">
      <c r="A463">
        <v>451</v>
      </c>
      <c r="B463">
        <f t="shared" si="67"/>
        <v>2.2124248496994001</v>
      </c>
      <c r="C463">
        <f t="shared" si="68"/>
        <v>32.317693375456805</v>
      </c>
      <c r="D463">
        <f t="shared" si="71"/>
        <v>3.9162799168579787</v>
      </c>
      <c r="E463">
        <f t="shared" si="69"/>
        <v>6.8298768082236366E-2</v>
      </c>
      <c r="F463">
        <f t="shared" si="70"/>
        <v>23.415431665966253</v>
      </c>
      <c r="G463">
        <f t="shared" si="63"/>
        <v>9.7495758745541377</v>
      </c>
      <c r="H463">
        <f t="shared" si="64"/>
        <v>16.207875018579841</v>
      </c>
      <c r="J463">
        <f t="shared" si="65"/>
        <v>0.22124248496994001</v>
      </c>
      <c r="K463">
        <f t="shared" si="66"/>
        <v>3.2317693375456806</v>
      </c>
      <c r="L463">
        <v>0</v>
      </c>
    </row>
    <row r="464" spans="1:12" x14ac:dyDescent="0.4">
      <c r="A464">
        <v>452</v>
      </c>
      <c r="B464">
        <f t="shared" si="67"/>
        <v>2.16633266533066</v>
      </c>
      <c r="C464">
        <f t="shared" si="68"/>
        <v>32.309773640916731</v>
      </c>
      <c r="D464">
        <f t="shared" si="71"/>
        <v>3.8358739961435671</v>
      </c>
      <c r="E464">
        <f t="shared" si="69"/>
        <v>6.6898630173966189E-2</v>
      </c>
      <c r="F464">
        <f t="shared" si="70"/>
        <v>22.970090946782449</v>
      </c>
      <c r="G464">
        <f t="shared" si="63"/>
        <v>9.56710847531944</v>
      </c>
      <c r="H464">
        <f t="shared" si="64"/>
        <v>15.861117319388834</v>
      </c>
      <c r="J464">
        <f t="shared" si="65"/>
        <v>0.216633266533066</v>
      </c>
      <c r="K464">
        <f t="shared" si="66"/>
        <v>3.230977364091673</v>
      </c>
      <c r="L464">
        <v>0</v>
      </c>
    </row>
    <row r="465" spans="1:12" x14ac:dyDescent="0.4">
      <c r="A465">
        <v>453</v>
      </c>
      <c r="B465">
        <f t="shared" si="67"/>
        <v>2.12024048096192</v>
      </c>
      <c r="C465">
        <f t="shared" si="68"/>
        <v>32.30200494570898</v>
      </c>
      <c r="D465">
        <f t="shared" si="71"/>
        <v>3.755395993083753</v>
      </c>
      <c r="E465">
        <f t="shared" si="69"/>
        <v>6.5497105143688117E-2</v>
      </c>
      <c r="F465">
        <f t="shared" si="70"/>
        <v>22.522864654724316</v>
      </c>
      <c r="G465">
        <f t="shared" si="63"/>
        <v>9.3837343308202819</v>
      </c>
      <c r="H465">
        <f t="shared" si="64"/>
        <v>15.515273739241895</v>
      </c>
      <c r="J465">
        <f t="shared" si="65"/>
        <v>0.21202404809619199</v>
      </c>
      <c r="K465">
        <f t="shared" si="66"/>
        <v>3.230200494570898</v>
      </c>
      <c r="L465">
        <v>0</v>
      </c>
    </row>
    <row r="466" spans="1:12" x14ac:dyDescent="0.4">
      <c r="A466">
        <v>454</v>
      </c>
      <c r="B466">
        <f t="shared" si="67"/>
        <v>2.0741482965931901</v>
      </c>
      <c r="C466">
        <f t="shared" si="68"/>
        <v>32.294387877138618</v>
      </c>
      <c r="D466">
        <f t="shared" si="71"/>
        <v>3.674847210933724</v>
      </c>
      <c r="E466">
        <f t="shared" si="69"/>
        <v>6.4094218104889869E-2</v>
      </c>
      <c r="F466">
        <f t="shared" si="70"/>
        <v>22.073756072668743</v>
      </c>
      <c r="G466">
        <f t="shared" si="63"/>
        <v>9.1994544308675099</v>
      </c>
      <c r="H466">
        <f t="shared" si="64"/>
        <v>15.1703113771859</v>
      </c>
      <c r="J466">
        <f t="shared" si="65"/>
        <v>0.20741482965931901</v>
      </c>
      <c r="K466">
        <f t="shared" si="66"/>
        <v>3.2294387877138617</v>
      </c>
      <c r="L466">
        <v>0</v>
      </c>
    </row>
    <row r="467" spans="1:12" x14ac:dyDescent="0.4">
      <c r="A467">
        <v>455</v>
      </c>
      <c r="B467">
        <f t="shared" si="67"/>
        <v>2.02805611222445</v>
      </c>
      <c r="C467">
        <f t="shared" si="68"/>
        <v>32.286923022656488</v>
      </c>
      <c r="D467">
        <f t="shared" si="71"/>
        <v>3.5942289637338831</v>
      </c>
      <c r="E467">
        <f t="shared" si="69"/>
        <v>6.2689994381860251E-2</v>
      </c>
      <c r="F467">
        <f t="shared" si="70"/>
        <v>21.622768636839112</v>
      </c>
      <c r="G467">
        <f t="shared" si="63"/>
        <v>9.0142698365526144</v>
      </c>
      <c r="H467">
        <f t="shared" si="64"/>
        <v>14.826197300994744</v>
      </c>
      <c r="J467">
        <f t="shared" si="65"/>
        <v>0.202805611222445</v>
      </c>
      <c r="K467">
        <f t="shared" si="66"/>
        <v>3.2286923022656486</v>
      </c>
      <c r="L467">
        <v>0</v>
      </c>
    </row>
    <row r="468" spans="1:12" x14ac:dyDescent="0.4">
      <c r="A468">
        <v>456</v>
      </c>
      <c r="B468">
        <f t="shared" si="67"/>
        <v>1.98196392785571</v>
      </c>
      <c r="C468">
        <f t="shared" si="68"/>
        <v>32.279610969878419</v>
      </c>
      <c r="D468">
        <f t="shared" si="71"/>
        <v>3.5135425762473305</v>
      </c>
      <c r="E468">
        <f t="shared" si="69"/>
        <v>6.1284459508279952E-2</v>
      </c>
      <c r="F468">
        <f t="shared" si="70"/>
        <v>21.169905937662378</v>
      </c>
      <c r="G468">
        <f t="shared" si="63"/>
        <v>8.8281816807075231</v>
      </c>
      <c r="H468">
        <f t="shared" si="64"/>
        <v>14.482898537343559</v>
      </c>
      <c r="J468">
        <f t="shared" si="65"/>
        <v>0.198196392785571</v>
      </c>
      <c r="K468">
        <f t="shared" si="66"/>
        <v>3.2279610969878418</v>
      </c>
      <c r="L468">
        <v>0</v>
      </c>
    </row>
    <row r="469" spans="1:12" x14ac:dyDescent="0.4">
      <c r="A469">
        <v>457</v>
      </c>
      <c r="B469">
        <f t="shared" si="67"/>
        <v>1.9358717434869701</v>
      </c>
      <c r="C469">
        <f t="shared" si="68"/>
        <v>32.272452306605032</v>
      </c>
      <c r="D469">
        <f t="shared" si="71"/>
        <v>3.432789383895511</v>
      </c>
      <c r="E469">
        <f t="shared" si="69"/>
        <v>5.9877639225771578E-2</v>
      </c>
      <c r="F469">
        <f t="shared" si="70"/>
        <v>20.715171720607998</v>
      </c>
      <c r="G469">
        <f t="shared" si="63"/>
        <v>8.6411911683562437</v>
      </c>
      <c r="H469">
        <f t="shared" si="64"/>
        <v>14.140382061825726</v>
      </c>
      <c r="J469">
        <f t="shared" si="65"/>
        <v>0.19358717434869702</v>
      </c>
      <c r="K469">
        <f t="shared" si="66"/>
        <v>3.2272452306605031</v>
      </c>
      <c r="L469">
        <v>0</v>
      </c>
    </row>
    <row r="470" spans="1:12" x14ac:dyDescent="0.4">
      <c r="A470">
        <v>458</v>
      </c>
      <c r="B470">
        <f t="shared" si="67"/>
        <v>1.88977955911824</v>
      </c>
      <c r="C470">
        <f t="shared" si="68"/>
        <v>32.265447620842238</v>
      </c>
      <c r="D470">
        <f t="shared" si="71"/>
        <v>3.35197073269233</v>
      </c>
      <c r="E470">
        <f t="shared" si="69"/>
        <v>5.8469559482414377E-2</v>
      </c>
      <c r="F470">
        <f t="shared" si="70"/>
        <v>20.258569887008946</v>
      </c>
      <c r="G470">
        <f t="shared" si="63"/>
        <v>8.4532995771583082</v>
      </c>
      <c r="H470">
        <f t="shared" si="64"/>
        <v>13.798614788805065</v>
      </c>
      <c r="J470">
        <f t="shared" si="65"/>
        <v>0.18897795591182401</v>
      </c>
      <c r="K470">
        <f t="shared" si="66"/>
        <v>3.2265447620842238</v>
      </c>
      <c r="L470">
        <v>0</v>
      </c>
    </row>
    <row r="471" spans="1:12" x14ac:dyDescent="0.4">
      <c r="A471">
        <v>459</v>
      </c>
      <c r="B471">
        <f t="shared" si="67"/>
        <v>1.8436873747495</v>
      </c>
      <c r="C471">
        <f t="shared" si="68"/>
        <v>32.258597500822361</v>
      </c>
      <c r="D471">
        <f t="shared" si="71"/>
        <v>3.2710879791765235</v>
      </c>
      <c r="E471">
        <f t="shared" si="69"/>
        <v>5.7060246431219853E-2</v>
      </c>
      <c r="F471">
        <f t="shared" si="70"/>
        <v>19.800104494864144</v>
      </c>
      <c r="G471">
        <f t="shared" si="63"/>
        <v>8.2645082578438096</v>
      </c>
      <c r="H471">
        <f t="shared" si="64"/>
        <v>13.457563561094235</v>
      </c>
      <c r="J471">
        <f t="shared" si="65"/>
        <v>0.18436873747495</v>
      </c>
      <c r="K471">
        <f t="shared" si="66"/>
        <v>3.2258597500822361</v>
      </c>
      <c r="L471">
        <v>0</v>
      </c>
    </row>
    <row r="472" spans="1:12" x14ac:dyDescent="0.4">
      <c r="A472">
        <v>460</v>
      </c>
      <c r="B472">
        <f t="shared" si="67"/>
        <v>1.7975951903807601</v>
      </c>
      <c r="C472">
        <f t="shared" si="68"/>
        <v>32.25190253502592</v>
      </c>
      <c r="D472">
        <f t="shared" si="71"/>
        <v>3.1901424903425899</v>
      </c>
      <c r="E472">
        <f t="shared" si="69"/>
        <v>5.5649726428573749E-2</v>
      </c>
      <c r="F472">
        <f t="shared" si="70"/>
        <v>19.339779759623241</v>
      </c>
      <c r="G472">
        <f t="shared" si="63"/>
        <v>8.0748186346403248</v>
      </c>
      <c r="H472">
        <f t="shared" si="64"/>
        <v>13.11719513945155</v>
      </c>
      <c r="J472">
        <f t="shared" si="65"/>
        <v>0.17975951903807602</v>
      </c>
      <c r="K472">
        <f t="shared" si="66"/>
        <v>3.2251902535025918</v>
      </c>
      <c r="L472">
        <v>0</v>
      </c>
    </row>
    <row r="473" spans="1:12" x14ac:dyDescent="0.4">
      <c r="A473">
        <v>461</v>
      </c>
      <c r="B473">
        <f t="shared" si="67"/>
        <v>1.75150300601202</v>
      </c>
      <c r="C473">
        <f t="shared" si="68"/>
        <v>32.24536331220407</v>
      </c>
      <c r="D473">
        <f t="shared" si="71"/>
        <v>3.1091356435699322</v>
      </c>
      <c r="E473">
        <f t="shared" si="69"/>
        <v>5.4238026032638255E-2</v>
      </c>
      <c r="F473">
        <f t="shared" si="70"/>
        <v>18.877600054951444</v>
      </c>
      <c r="G473">
        <f t="shared" si="63"/>
        <v>7.8842322056907559</v>
      </c>
      <c r="H473">
        <f t="shared" si="64"/>
        <v>12.777476191885555</v>
      </c>
      <c r="J473">
        <f t="shared" si="65"/>
        <v>0.17515030060120201</v>
      </c>
      <c r="K473">
        <f t="shared" si="66"/>
        <v>3.2245363312204072</v>
      </c>
      <c r="L473">
        <v>0</v>
      </c>
    </row>
    <row r="474" spans="1:12" x14ac:dyDescent="0.4">
      <c r="A474">
        <v>462</v>
      </c>
      <c r="B474">
        <f t="shared" si="67"/>
        <v>1.7054108216432899</v>
      </c>
      <c r="C474">
        <f t="shared" si="68"/>
        <v>32.238980421401692</v>
      </c>
      <c r="D474">
        <f t="shared" si="71"/>
        <v>3.0280688265505171</v>
      </c>
      <c r="E474">
        <f t="shared" si="69"/>
        <v>5.2825172001719857E-2</v>
      </c>
      <c r="F474">
        <f t="shared" si="70"/>
        <v>18.413569913475982</v>
      </c>
      <c r="G474">
        <f t="shared" si="63"/>
        <v>7.6927505434627328</v>
      </c>
      <c r="H474">
        <f t="shared" si="64"/>
        <v>12.438373282759265</v>
      </c>
      <c r="J474">
        <f t="shared" si="65"/>
        <v>0.17054108216432901</v>
      </c>
      <c r="K474">
        <f t="shared" si="66"/>
        <v>3.2238980421401693</v>
      </c>
      <c r="L474">
        <v>0</v>
      </c>
    </row>
    <row r="475" spans="1:12" x14ac:dyDescent="0.4">
      <c r="A475">
        <v>463</v>
      </c>
      <c r="B475">
        <f t="shared" si="67"/>
        <v>1.6593186372745501</v>
      </c>
      <c r="C475">
        <f t="shared" si="68"/>
        <v>32.232754451981123</v>
      </c>
      <c r="D475">
        <f t="shared" si="71"/>
        <v>2.946943437214844</v>
      </c>
      <c r="E475">
        <f t="shared" si="69"/>
        <v>5.1411191292599363E-2</v>
      </c>
      <c r="F475">
        <f t="shared" si="70"/>
        <v>17.947694027512597</v>
      </c>
      <c r="G475">
        <f t="shared" si="63"/>
        <v>7.500375295148876</v>
      </c>
      <c r="H475">
        <f t="shared" si="64"/>
        <v>12.099852861683329</v>
      </c>
      <c r="J475">
        <f t="shared" si="65"/>
        <v>0.165931863727455</v>
      </c>
      <c r="K475">
        <f t="shared" si="66"/>
        <v>3.2232754451981123</v>
      </c>
      <c r="L475">
        <v>0</v>
      </c>
    </row>
    <row r="476" spans="1:12" x14ac:dyDescent="0.4">
      <c r="A476">
        <v>464</v>
      </c>
      <c r="B476">
        <f t="shared" si="67"/>
        <v>1.61322645290581</v>
      </c>
      <c r="C476">
        <f t="shared" si="68"/>
        <v>32.226685993646555</v>
      </c>
      <c r="D476">
        <f t="shared" si="71"/>
        <v>2.8657608836565247</v>
      </c>
      <c r="E476">
        <f t="shared" si="69"/>
        <v>4.9996111058829187E-2</v>
      </c>
      <c r="F476">
        <f t="shared" si="70"/>
        <v>17.479977249773299</v>
      </c>
      <c r="G476">
        <f t="shared" si="63"/>
        <v>7.3071081830583875</v>
      </c>
      <c r="H476">
        <f t="shared" si="64"/>
        <v>11.761881252189001</v>
      </c>
      <c r="J476">
        <f t="shared" si="65"/>
        <v>0.16132264529058099</v>
      </c>
      <c r="K476">
        <f t="shared" si="66"/>
        <v>3.2226685993646553</v>
      </c>
      <c r="L476">
        <v>0</v>
      </c>
    </row>
    <row r="477" spans="1:12" x14ac:dyDescent="0.4">
      <c r="A477">
        <v>465</v>
      </c>
      <c r="B477">
        <f t="shared" si="67"/>
        <v>1.5671342685370699</v>
      </c>
      <c r="C477">
        <f t="shared" si="68"/>
        <v>32.220775636469099</v>
      </c>
      <c r="D477">
        <f t="shared" si="71"/>
        <v>2.7845225840551358</v>
      </c>
      <c r="E477">
        <f t="shared" si="69"/>
        <v>4.8579958648992332E-2</v>
      </c>
      <c r="F477">
        <f t="shared" si="70"/>
        <v>17.010424594053205</v>
      </c>
      <c r="G477">
        <f t="shared" si="63"/>
        <v>7.1129510049990348</v>
      </c>
      <c r="H477">
        <f t="shared" si="64"/>
        <v>11.42442464016905</v>
      </c>
      <c r="J477">
        <f t="shared" si="65"/>
        <v>0.15671342685370698</v>
      </c>
      <c r="K477">
        <f t="shared" si="66"/>
        <v>3.2220775636469101</v>
      </c>
      <c r="L477">
        <v>0</v>
      </c>
    </row>
    <row r="478" spans="1:12" x14ac:dyDescent="0.4">
      <c r="A478">
        <v>466</v>
      </c>
      <c r="B478">
        <f t="shared" si="67"/>
        <v>1.5210420841683401</v>
      </c>
      <c r="C478">
        <f t="shared" si="68"/>
        <v>32.215023970912455</v>
      </c>
      <c r="D478">
        <f t="shared" si="71"/>
        <v>2.70322996659764</v>
      </c>
      <c r="E478">
        <f t="shared" si="69"/>
        <v>4.716276160492807E-2</v>
      </c>
      <c r="F478">
        <f t="shared" si="70"/>
        <v>16.539041235898054</v>
      </c>
      <c r="G478">
        <f t="shared" si="63"/>
        <v>6.9179056346502072</v>
      </c>
      <c r="H478">
        <f t="shared" si="64"/>
        <v>11.087449062076912</v>
      </c>
      <c r="J478">
        <f t="shared" si="65"/>
        <v>0.152104208416834</v>
      </c>
      <c r="K478">
        <f t="shared" si="66"/>
        <v>3.2215023970912453</v>
      </c>
      <c r="L478">
        <v>0</v>
      </c>
    </row>
    <row r="479" spans="1:12" x14ac:dyDescent="0.4">
      <c r="A479">
        <v>467</v>
      </c>
      <c r="B479">
        <f t="shared" si="67"/>
        <v>1.4749498997996</v>
      </c>
      <c r="C479">
        <f t="shared" si="68"/>
        <v>32.209431587859285</v>
      </c>
      <c r="D479">
        <f t="shared" si="71"/>
        <v>2.6218844693981782</v>
      </c>
      <c r="E479">
        <f t="shared" si="69"/>
        <v>4.57445476599211E-2</v>
      </c>
      <c r="F479">
        <f t="shared" si="70"/>
        <v>16.065832513250513</v>
      </c>
      <c r="G479">
        <f t="shared" si="63"/>
        <v>6.721974021926167</v>
      </c>
      <c r="H479">
        <f t="shared" si="64"/>
        <v>10.750920392871599</v>
      </c>
      <c r="J479">
        <f t="shared" si="65"/>
        <v>0.14749498997996</v>
      </c>
      <c r="K479">
        <f t="shared" si="66"/>
        <v>3.2209431587859285</v>
      </c>
      <c r="L479">
        <v>0</v>
      </c>
    </row>
    <row r="480" spans="1:12" x14ac:dyDescent="0.4">
      <c r="A480">
        <v>468</v>
      </c>
      <c r="B480">
        <f t="shared" si="67"/>
        <v>1.4288577154308599</v>
      </c>
      <c r="C480">
        <f t="shared" si="68"/>
        <v>32.203999078638219</v>
      </c>
      <c r="D480">
        <f t="shared" si="71"/>
        <v>2.5404875404165406</v>
      </c>
      <c r="E480">
        <f t="shared" si="69"/>
        <v>4.4325344736859493E-2</v>
      </c>
      <c r="F480">
        <f t="shared" si="70"/>
        <v>15.590803927076934</v>
      </c>
      <c r="G480">
        <f t="shared" si="63"/>
        <v>6.5251581933301965</v>
      </c>
      <c r="H480">
        <f t="shared" si="64"/>
        <v>10.414804333697903</v>
      </c>
      <c r="J480">
        <f t="shared" si="65"/>
        <v>0.14288577154308599</v>
      </c>
      <c r="K480">
        <f t="shared" si="66"/>
        <v>3.2203999078638219</v>
      </c>
      <c r="L480">
        <v>0</v>
      </c>
    </row>
    <row r="481" spans="1:12" x14ac:dyDescent="0.4">
      <c r="A481">
        <v>469</v>
      </c>
      <c r="B481">
        <f t="shared" si="67"/>
        <v>1.3827655310621201</v>
      </c>
      <c r="C481">
        <f t="shared" si="68"/>
        <v>32.198727035051505</v>
      </c>
      <c r="D481">
        <f t="shared" si="71"/>
        <v>2.4590406373749616</v>
      </c>
      <c r="E481">
        <f t="shared" si="69"/>
        <v>4.2905180946355453E-2</v>
      </c>
      <c r="F481">
        <f t="shared" si="70"/>
        <v>15.113961141972283</v>
      </c>
      <c r="G481">
        <f t="shared" si="63"/>
        <v>6.3274602522986605</v>
      </c>
      <c r="H481">
        <f t="shared" si="64"/>
        <v>10.079066399288134</v>
      </c>
      <c r="J481">
        <f t="shared" si="65"/>
        <v>0.13827655310621201</v>
      </c>
      <c r="K481">
        <f t="shared" si="66"/>
        <v>3.2198727035051506</v>
      </c>
      <c r="L481">
        <v>0</v>
      </c>
    </row>
    <row r="482" spans="1:12" x14ac:dyDescent="0.4">
      <c r="A482">
        <v>470</v>
      </c>
      <c r="B482">
        <f t="shared" si="67"/>
        <v>1.33667334669339</v>
      </c>
      <c r="C482">
        <f t="shared" si="68"/>
        <v>32.19361604940331</v>
      </c>
      <c r="D482">
        <f t="shared" si="71"/>
        <v>2.3775452276735627</v>
      </c>
      <c r="E482">
        <f t="shared" si="69"/>
        <v>4.1484084584834491E-2</v>
      </c>
      <c r="F482">
        <f t="shared" si="70"/>
        <v>14.635309986744574</v>
      </c>
      <c r="G482">
        <f t="shared" si="63"/>
        <v>6.1288823795355052</v>
      </c>
      <c r="H482">
        <f t="shared" si="64"/>
        <v>9.743671905073759</v>
      </c>
      <c r="J482">
        <f t="shared" si="65"/>
        <v>0.133667334669339</v>
      </c>
      <c r="K482">
        <f t="shared" si="66"/>
        <v>3.2193616049403309</v>
      </c>
      <c r="L482">
        <v>0</v>
      </c>
    </row>
    <row r="483" spans="1:12" x14ac:dyDescent="0.4">
      <c r="A483">
        <v>471</v>
      </c>
      <c r="B483">
        <f t="shared" si="67"/>
        <v>1.2905811623246499</v>
      </c>
      <c r="C483">
        <f t="shared" si="68"/>
        <v>32.188666714528686</v>
      </c>
      <c r="D483">
        <f t="shared" si="71"/>
        <v>2.2960027883042269</v>
      </c>
      <c r="E483">
        <f t="shared" si="69"/>
        <v>4.0062084132589423E-2</v>
      </c>
      <c r="F483">
        <f t="shared" si="70"/>
        <v>14.154856454977335</v>
      </c>
      <c r="G483">
        <f t="shared" si="63"/>
        <v>5.9294268333365538</v>
      </c>
      <c r="H483">
        <f t="shared" si="64"/>
        <v>9.4085859539927537</v>
      </c>
      <c r="J483">
        <f t="shared" si="65"/>
        <v>0.12905811623246499</v>
      </c>
      <c r="K483">
        <f t="shared" si="66"/>
        <v>3.2188666714528686</v>
      </c>
      <c r="L483">
        <v>0</v>
      </c>
    </row>
    <row r="484" spans="1:12" x14ac:dyDescent="0.4">
      <c r="A484">
        <v>472</v>
      </c>
      <c r="B484">
        <f t="shared" si="67"/>
        <v>1.2444889779559101</v>
      </c>
      <c r="C484">
        <f t="shared" si="68"/>
        <v>32.183879623823174</v>
      </c>
      <c r="D484">
        <f t="shared" si="71"/>
        <v>2.2144148057632198</v>
      </c>
      <c r="E484">
        <f t="shared" si="69"/>
        <v>3.8639208251804724E-2</v>
      </c>
      <c r="F484">
        <f t="shared" si="70"/>
        <v>13.672606705571582</v>
      </c>
      <c r="G484">
        <f t="shared" si="63"/>
        <v>5.7290959499041811</v>
      </c>
      <c r="H484">
        <f t="shared" si="64"/>
        <v>9.0737734229800751</v>
      </c>
      <c r="J484">
        <f t="shared" si="65"/>
        <v>0.12444889779559101</v>
      </c>
      <c r="K484">
        <f t="shared" si="66"/>
        <v>3.2183879623823173</v>
      </c>
      <c r="L484">
        <v>0</v>
      </c>
    </row>
    <row r="485" spans="1:12" x14ac:dyDescent="0.4">
      <c r="A485">
        <v>473</v>
      </c>
      <c r="B485">
        <f t="shared" si="67"/>
        <v>1.19839679358718</v>
      </c>
      <c r="C485">
        <f t="shared" si="68"/>
        <v>32.179255371273044</v>
      </c>
      <c r="D485">
        <f t="shared" si="71"/>
        <v>2.1327827759622262</v>
      </c>
      <c r="E485">
        <f t="shared" si="69"/>
        <v>3.7215485784545539E-2</v>
      </c>
      <c r="F485">
        <f t="shared" si="70"/>
        <v>13.188567063265197</v>
      </c>
      <c r="G485">
        <f t="shared" si="63"/>
        <v>5.527892143651485</v>
      </c>
      <c r="H485">
        <f t="shared" si="64"/>
        <v>8.7391989491254307</v>
      </c>
      <c r="J485">
        <f t="shared" si="65"/>
        <v>0.119839679358718</v>
      </c>
      <c r="K485">
        <f t="shared" si="66"/>
        <v>3.2179255371273046</v>
      </c>
      <c r="L485">
        <v>0</v>
      </c>
    </row>
    <row r="486" spans="1:12" x14ac:dyDescent="0.4">
      <c r="A486">
        <v>474</v>
      </c>
      <c r="B486">
        <f t="shared" si="67"/>
        <v>1.1523046092184399</v>
      </c>
      <c r="C486">
        <f t="shared" si="68"/>
        <v>32.174794551486194</v>
      </c>
      <c r="D486">
        <f t="shared" si="71"/>
        <v>2.0511082041380044</v>
      </c>
      <c r="E486">
        <f t="shared" si="69"/>
        <v>3.5790945750715085E-2</v>
      </c>
      <c r="F486">
        <f t="shared" si="70"/>
        <v>12.702744019130279</v>
      </c>
      <c r="G486">
        <f t="shared" si="63"/>
        <v>5.3258179074961376</v>
      </c>
      <c r="H486">
        <f t="shared" si="64"/>
        <v>8.4048269154840209</v>
      </c>
      <c r="J486">
        <f t="shared" si="65"/>
        <v>0.115230460921844</v>
      </c>
      <c r="K486">
        <f t="shared" si="66"/>
        <v>3.2174794551486192</v>
      </c>
      <c r="L486">
        <v>0</v>
      </c>
    </row>
    <row r="487" spans="1:12" x14ac:dyDescent="0.4">
      <c r="A487">
        <v>475</v>
      </c>
      <c r="B487">
        <f t="shared" si="67"/>
        <v>1.1062124248497001</v>
      </c>
      <c r="C487">
        <f t="shared" si="68"/>
        <v>32.170497759723702</v>
      </c>
      <c r="D487">
        <f t="shared" si="71"/>
        <v>1.9693926047608035</v>
      </c>
      <c r="E487">
        <f t="shared" si="69"/>
        <v>3.4365617345982889E-2</v>
      </c>
      <c r="F487">
        <f t="shared" si="70"/>
        <v>12.215144231049322</v>
      </c>
      <c r="G487">
        <f t="shared" si="63"/>
        <v>5.1228758131442591</v>
      </c>
      <c r="H487">
        <f t="shared" si="64"/>
        <v>8.0706214365252507</v>
      </c>
      <c r="J487">
        <f t="shared" si="65"/>
        <v>0.11062124248497</v>
      </c>
      <c r="K487">
        <f t="shared" si="66"/>
        <v>3.2170497759723702</v>
      </c>
      <c r="L487">
        <v>0</v>
      </c>
    </row>
    <row r="488" spans="1:12" x14ac:dyDescent="0.4">
      <c r="A488">
        <v>476</v>
      </c>
      <c r="B488">
        <f t="shared" si="67"/>
        <v>1.06012024048096</v>
      </c>
      <c r="C488">
        <f t="shared" si="68"/>
        <v>32.166365591931992</v>
      </c>
      <c r="D488">
        <f t="shared" si="71"/>
        <v>1.8876375014412534</v>
      </c>
      <c r="E488">
        <f t="shared" si="69"/>
        <v>3.2939529939679101E-2</v>
      </c>
      <c r="F488">
        <f t="shared" si="70"/>
        <v>11.725774524167917</v>
      </c>
      <c r="G488">
        <f t="shared" si="63"/>
        <v>4.9190685113633323</v>
      </c>
      <c r="H488">
        <f t="shared" si="64"/>
        <v>7.7365463432016943</v>
      </c>
      <c r="J488">
        <f t="shared" si="65"/>
        <v>0.106012024048096</v>
      </c>
      <c r="K488">
        <f t="shared" si="66"/>
        <v>3.2166365591931991</v>
      </c>
      <c r="L488">
        <v>0</v>
      </c>
    </row>
    <row r="489" spans="1:12" x14ac:dyDescent="0.4">
      <c r="A489">
        <v>477</v>
      </c>
      <c r="B489">
        <f t="shared" si="67"/>
        <v>1.0140280561122299</v>
      </c>
      <c r="C489">
        <f t="shared" si="68"/>
        <v>32.162398644775664</v>
      </c>
      <c r="D489">
        <f t="shared" si="71"/>
        <v>1.8058444268360228</v>
      </c>
      <c r="E489">
        <f t="shared" si="69"/>
        <v>3.1512713072660022E-2</v>
      </c>
      <c r="F489">
        <f t="shared" si="70"/>
        <v>11.234641891325793</v>
      </c>
      <c r="G489">
        <f t="shared" si="63"/>
        <v>4.7143987322448853</v>
      </c>
      <c r="H489">
        <f t="shared" si="64"/>
        <v>7.4025651676227016</v>
      </c>
      <c r="J489">
        <f t="shared" si="65"/>
        <v>0.10140280561122299</v>
      </c>
      <c r="K489">
        <f t="shared" si="66"/>
        <v>3.2162398644775663</v>
      </c>
      <c r="L489">
        <v>0</v>
      </c>
    </row>
    <row r="490" spans="1:12" x14ac:dyDescent="0.4">
      <c r="A490">
        <v>478</v>
      </c>
      <c r="B490">
        <f t="shared" si="67"/>
        <v>0.96793587174348805</v>
      </c>
      <c r="C490">
        <f t="shared" si="68"/>
        <v>32.158597515670941</v>
      </c>
      <c r="D490">
        <f t="shared" si="71"/>
        <v>1.7240149225520469</v>
      </c>
      <c r="E490">
        <f t="shared" si="69"/>
        <v>3.0085196455141489E-2</v>
      </c>
      <c r="F490">
        <f t="shared" si="70"/>
        <v>10.741753493464188</v>
      </c>
      <c r="G490">
        <f t="shared" si="63"/>
        <v>4.5088692854560701</v>
      </c>
      <c r="H490">
        <f t="shared" si="64"/>
        <v>7.0686411273136622</v>
      </c>
      <c r="J490">
        <f t="shared" si="65"/>
        <v>9.67935871743488E-2</v>
      </c>
      <c r="K490">
        <f t="shared" si="66"/>
        <v>3.2158597515670939</v>
      </c>
      <c r="L490">
        <v>0</v>
      </c>
    </row>
    <row r="491" spans="1:12" x14ac:dyDescent="0.4">
      <c r="A491">
        <v>479</v>
      </c>
      <c r="B491">
        <f t="shared" si="67"/>
        <v>0.92184368737474998</v>
      </c>
      <c r="C491">
        <f t="shared" si="68"/>
        <v>32.154962802819782</v>
      </c>
      <c r="D491">
        <f t="shared" si="71"/>
        <v>1.6421505390496505</v>
      </c>
      <c r="E491">
        <f t="shared" si="69"/>
        <v>2.8657009964506017E-2</v>
      </c>
      <c r="F491">
        <f t="shared" si="70"/>
        <v>10.24711666001167</v>
      </c>
      <c r="G491">
        <f t="shared" si="63"/>
        <v>4.30248306048101</v>
      </c>
      <c r="H491">
        <f t="shared" si="64"/>
        <v>6.7347371090439943</v>
      </c>
      <c r="J491">
        <f t="shared" si="65"/>
        <v>9.2184368737475E-2</v>
      </c>
      <c r="K491">
        <f t="shared" si="66"/>
        <v>3.215496280281978</v>
      </c>
      <c r="L491">
        <v>0</v>
      </c>
    </row>
    <row r="492" spans="1:12" x14ac:dyDescent="0.4">
      <c r="A492">
        <v>480</v>
      </c>
      <c r="B492">
        <f t="shared" si="67"/>
        <v>0.87575150300601301</v>
      </c>
      <c r="C492">
        <f t="shared" si="68"/>
        <v>32.151495105244585</v>
      </c>
      <c r="D492">
        <f t="shared" si="71"/>
        <v>1.5602528355441789</v>
      </c>
      <c r="E492">
        <f t="shared" si="69"/>
        <v>2.7228183643076945E-2</v>
      </c>
      <c r="F492">
        <f t="shared" si="70"/>
        <v>9.7507388892455822</v>
      </c>
      <c r="G492">
        <f t="shared" si="63"/>
        <v>4.0952430268507012</v>
      </c>
      <c r="H492">
        <f t="shared" si="64"/>
        <v>6.4008156522026978</v>
      </c>
      <c r="J492">
        <f t="shared" si="65"/>
        <v>8.7575150300601298E-2</v>
      </c>
      <c r="K492">
        <f t="shared" si="66"/>
        <v>3.2151495105244585</v>
      </c>
      <c r="L492">
        <v>0</v>
      </c>
    </row>
    <row r="493" spans="1:12" x14ac:dyDescent="0.4">
      <c r="A493">
        <v>481</v>
      </c>
      <c r="B493">
        <f t="shared" si="67"/>
        <v>0.82965931863727505</v>
      </c>
      <c r="C493">
        <f t="shared" si="68"/>
        <v>32.148195022823565</v>
      </c>
      <c r="D493">
        <f t="shared" si="71"/>
        <v>1.4783233799065019</v>
      </c>
      <c r="E493">
        <f t="shared" si="69"/>
        <v>2.579874769586615E-2</v>
      </c>
      <c r="F493">
        <f t="shared" si="70"/>
        <v>9.2526278486310503</v>
      </c>
      <c r="G493">
        <f t="shared" si="63"/>
        <v>3.887152234362274</v>
      </c>
      <c r="H493">
        <f t="shared" si="64"/>
        <v>6.0668389317027618</v>
      </c>
      <c r="J493">
        <f t="shared" si="65"/>
        <v>8.2965931863727499E-2</v>
      </c>
      <c r="K493">
        <f t="shared" si="66"/>
        <v>3.2148195022823565</v>
      </c>
      <c r="L493">
        <v>0</v>
      </c>
    </row>
    <row r="494" spans="1:12" x14ac:dyDescent="0.4">
      <c r="A494">
        <v>482</v>
      </c>
      <c r="B494">
        <f t="shared" si="67"/>
        <v>0.78356713426853797</v>
      </c>
      <c r="C494">
        <f t="shared" si="68"/>
        <v>32.145063156326728</v>
      </c>
      <c r="D494">
        <f t="shared" si="71"/>
        <v>1.3963637485622566</v>
      </c>
      <c r="E494">
        <f t="shared" si="69"/>
        <v>2.4368732488293084E-2</v>
      </c>
      <c r="F494">
        <f t="shared" si="70"/>
        <v>8.7527913751363258</v>
      </c>
      <c r="G494">
        <f t="shared" si="63"/>
        <v>3.6782138132870346</v>
      </c>
      <c r="H494">
        <f t="shared" si="64"/>
        <v>5.7327687403925971</v>
      </c>
      <c r="J494">
        <f t="shared" si="65"/>
        <v>7.8356713426853797E-2</v>
      </c>
      <c r="K494">
        <f t="shared" si="66"/>
        <v>3.214506315632673</v>
      </c>
      <c r="L494">
        <v>0</v>
      </c>
    </row>
    <row r="495" spans="1:12" x14ac:dyDescent="0.4">
      <c r="A495">
        <v>483</v>
      </c>
      <c r="B495">
        <f t="shared" si="67"/>
        <v>0.7374749498998</v>
      </c>
      <c r="C495">
        <f t="shared" si="68"/>
        <v>32.142100107452471</v>
      </c>
      <c r="D495">
        <f t="shared" si="71"/>
        <v>1.3143755263898631</v>
      </c>
      <c r="E495">
        <f t="shared" si="69"/>
        <v>2.2938168543875835E-2</v>
      </c>
      <c r="F495">
        <f t="shared" si="70"/>
        <v>8.2512374755247038</v>
      </c>
      <c r="G495">
        <f t="shared" si="63"/>
        <v>3.4684309745674202</v>
      </c>
      <c r="H495">
        <f t="shared" si="64"/>
        <v>5.3985664709527015</v>
      </c>
      <c r="J495">
        <f t="shared" si="65"/>
        <v>7.3747494989979998E-2</v>
      </c>
      <c r="K495">
        <f t="shared" si="66"/>
        <v>3.2142100107452469</v>
      </c>
      <c r="L495">
        <v>0</v>
      </c>
    </row>
    <row r="496" spans="1:12" x14ac:dyDescent="0.4">
      <c r="A496">
        <v>484</v>
      </c>
      <c r="B496">
        <f t="shared" si="67"/>
        <v>0.69138276553106304</v>
      </c>
      <c r="C496">
        <f t="shared" si="68"/>
        <v>32.139306478864832</v>
      </c>
      <c r="D496">
        <f t="shared" si="71"/>
        <v>1.2323603066173729</v>
      </c>
      <c r="E496">
        <f t="shared" si="69"/>
        <v>2.1507086541895485E-2</v>
      </c>
      <c r="F496">
        <f t="shared" si="70"/>
        <v>7.7479743266227104</v>
      </c>
      <c r="G496">
        <f t="shared" si="63"/>
        <v>3.2578070100026686</v>
      </c>
      <c r="H496">
        <f t="shared" si="64"/>
        <v>5.0641930972544431</v>
      </c>
      <c r="J496">
        <f t="shared" si="65"/>
        <v>6.9138276553106309E-2</v>
      </c>
      <c r="K496">
        <f t="shared" si="66"/>
        <v>3.2139306478864831</v>
      </c>
      <c r="L496">
        <v>0</v>
      </c>
    </row>
    <row r="497" spans="1:12" x14ac:dyDescent="0.4">
      <c r="A497">
        <v>485</v>
      </c>
      <c r="B497">
        <f t="shared" si="67"/>
        <v>0.64529058116232496</v>
      </c>
      <c r="C497">
        <f t="shared" si="68"/>
        <v>32.136682874231312</v>
      </c>
      <c r="D497">
        <f t="shared" si="71"/>
        <v>1.1503196907181277</v>
      </c>
      <c r="E497">
        <f t="shared" si="69"/>
        <v>2.0075517315033344E-2</v>
      </c>
      <c r="F497">
        <f t="shared" si="70"/>
        <v>7.2430102755644441</v>
      </c>
      <c r="G497">
        <f t="shared" si="63"/>
        <v>3.0463452924231582</v>
      </c>
      <c r="H497">
        <f t="shared" si="64"/>
        <v>4.7296091551568296</v>
      </c>
      <c r="J497">
        <f t="shared" si="65"/>
        <v>6.4529058116232496E-2</v>
      </c>
      <c r="K497">
        <f t="shared" si="66"/>
        <v>3.2136682874231313</v>
      </c>
      <c r="L497">
        <v>0</v>
      </c>
    </row>
    <row r="498" spans="1:12" x14ac:dyDescent="0.4">
      <c r="A498">
        <v>486</v>
      </c>
      <c r="B498">
        <f t="shared" si="67"/>
        <v>0.599198396793588</v>
      </c>
      <c r="C498">
        <f t="shared" si="68"/>
        <v>32.134229898261367</v>
      </c>
      <c r="D498">
        <f t="shared" si="71"/>
        <v>1.0682552883053031</v>
      </c>
      <c r="E498">
        <f t="shared" si="69"/>
        <v>1.8643491846982718E-2</v>
      </c>
      <c r="F498">
        <f t="shared" si="70"/>
        <v>6.7363538400120149</v>
      </c>
      <c r="G498">
        <f t="shared" si="63"/>
        <v>2.834049275853356</v>
      </c>
      <c r="H498">
        <f t="shared" si="64"/>
        <v>4.3947747227161491</v>
      </c>
      <c r="J498">
        <f t="shared" si="65"/>
        <v>5.9919839679358801E-2</v>
      </c>
      <c r="K498">
        <f t="shared" si="66"/>
        <v>3.2134229898261366</v>
      </c>
      <c r="L498">
        <v>0</v>
      </c>
    </row>
    <row r="499" spans="1:12" x14ac:dyDescent="0.4">
      <c r="A499">
        <v>487</v>
      </c>
      <c r="B499">
        <f t="shared" si="67"/>
        <v>0.55310621242485003</v>
      </c>
      <c r="C499">
        <f t="shared" si="68"/>
        <v>32.131948156745452</v>
      </c>
      <c r="D499">
        <f t="shared" si="71"/>
        <v>0.98616871702530284</v>
      </c>
      <c r="E499">
        <f t="shared" si="69"/>
        <v>1.7211041270034512E-2</v>
      </c>
      <c r="F499">
        <f t="shared" si="70"/>
        <v>6.2280137083520231</v>
      </c>
      <c r="G499">
        <f t="shared" si="63"/>
        <v>2.6209224956633603</v>
      </c>
      <c r="H499">
        <f t="shared" si="64"/>
        <v>4.0596493997820327</v>
      </c>
      <c r="J499">
        <f t="shared" si="65"/>
        <v>5.5310621242485002E-2</v>
      </c>
      <c r="K499">
        <f t="shared" si="66"/>
        <v>3.2131948156745453</v>
      </c>
      <c r="L499">
        <v>0</v>
      </c>
    </row>
    <row r="500" spans="1:12" x14ac:dyDescent="0.4">
      <c r="A500">
        <v>488</v>
      </c>
      <c r="B500">
        <f t="shared" si="67"/>
        <v>0.50701402805611295</v>
      </c>
      <c r="C500">
        <f t="shared" si="68"/>
        <v>32.129838256594724</v>
      </c>
      <c r="D500">
        <f t="shared" si="71"/>
        <v>0.90406160245008516</v>
      </c>
      <c r="E500">
        <f t="shared" si="69"/>
        <v>1.5778196862638455E-2</v>
      </c>
      <c r="F500">
        <f t="shared" si="70"/>
        <v>5.7179987398676246</v>
      </c>
      <c r="G500">
        <f t="shared" si="63"/>
        <v>2.4069685687087699</v>
      </c>
      <c r="H500">
        <f t="shared" si="64"/>
        <v>3.7241922869522002</v>
      </c>
      <c r="J500">
        <f t="shared" si="65"/>
        <v>5.0701402805611293E-2</v>
      </c>
      <c r="K500">
        <f t="shared" si="66"/>
        <v>3.2129838256594723</v>
      </c>
      <c r="L500">
        <v>0</v>
      </c>
    </row>
    <row r="501" spans="1:12" x14ac:dyDescent="0.4">
      <c r="A501">
        <v>489</v>
      </c>
      <c r="B501">
        <f t="shared" si="67"/>
        <v>0.46092184368737499</v>
      </c>
      <c r="C501">
        <f t="shared" si="68"/>
        <v>32.12790080588131</v>
      </c>
      <c r="D501">
        <f t="shared" si="71"/>
        <v>0.82193557796839123</v>
      </c>
      <c r="E501">
        <f t="shared" si="69"/>
        <v>1.4344990046939428E-2</v>
      </c>
      <c r="F501">
        <f t="shared" si="70"/>
        <v>5.2063179648864377</v>
      </c>
      <c r="G501">
        <f t="shared" si="63"/>
        <v>2.1921911934590232</v>
      </c>
      <c r="H501">
        <f t="shared" si="64"/>
        <v>3.3883619638570628</v>
      </c>
      <c r="J501">
        <f t="shared" si="65"/>
        <v>4.60921843687375E-2</v>
      </c>
      <c r="K501">
        <f t="shared" si="66"/>
        <v>3.2127900805881309</v>
      </c>
      <c r="L501">
        <v>0</v>
      </c>
    </row>
    <row r="502" spans="1:12" x14ac:dyDescent="0.4">
      <c r="A502">
        <v>490</v>
      </c>
      <c r="B502">
        <f t="shared" si="67"/>
        <v>0.41482965931863802</v>
      </c>
      <c r="C502">
        <f t="shared" si="68"/>
        <v>32.126136413879209</v>
      </c>
      <c r="D502">
        <f t="shared" si="71"/>
        <v>0.73979228467595037</v>
      </c>
      <c r="E502">
        <f t="shared" si="69"/>
        <v>1.2911452386290411E-2</v>
      </c>
      <c r="F502">
        <f t="shared" si="70"/>
        <v>4.6929805849041486</v>
      </c>
      <c r="G502">
        <f t="shared" si="63"/>
        <v>1.9765941501140991</v>
      </c>
      <c r="H502">
        <f t="shared" si="64"/>
        <v>3.0521164667438776</v>
      </c>
      <c r="J502">
        <f t="shared" si="65"/>
        <v>4.1482965931863805E-2</v>
      </c>
      <c r="K502">
        <f t="shared" si="66"/>
        <v>3.2126136413879207</v>
      </c>
      <c r="L502">
        <v>0</v>
      </c>
    </row>
    <row r="503" spans="1:12" x14ac:dyDescent="0.4">
      <c r="A503">
        <v>491</v>
      </c>
      <c r="B503">
        <f t="shared" si="67"/>
        <v>0.3687374749499</v>
      </c>
      <c r="C503">
        <f t="shared" si="68"/>
        <v>32.124545691105745</v>
      </c>
      <c r="D503">
        <f t="shared" si="71"/>
        <v>0.65763337126463595</v>
      </c>
      <c r="E503">
        <f t="shared" si="69"/>
        <v>1.1477615582741742E-2</v>
      </c>
      <c r="F503">
        <f t="shared" si="70"/>
        <v>4.1779959726832772</v>
      </c>
      <c r="G503">
        <f t="shared" si="63"/>
        <v>1.7601813007093206</v>
      </c>
      <c r="H503">
        <f t="shared" si="64"/>
        <v>2.7154132653283622</v>
      </c>
      <c r="J503">
        <f t="shared" si="65"/>
        <v>3.6873747494989999E-2</v>
      </c>
      <c r="K503">
        <f t="shared" si="66"/>
        <v>3.2124545691105744</v>
      </c>
      <c r="L503">
        <v>0</v>
      </c>
    </row>
    <row r="504" spans="1:12" x14ac:dyDescent="0.4">
      <c r="A504">
        <v>492</v>
      </c>
      <c r="B504">
        <f t="shared" si="67"/>
        <v>0.32264529058116298</v>
      </c>
      <c r="C504">
        <f t="shared" si="68"/>
        <v>32.123129249363657</v>
      </c>
      <c r="D504">
        <f t="shared" si="71"/>
        <v>0.57546049391065013</v>
      </c>
      <c r="E504">
        <f t="shared" si="69"/>
        <v>1.0043511474508205E-2</v>
      </c>
      <c r="F504">
        <f t="shared" si="70"/>
        <v>3.6613736723278123</v>
      </c>
      <c r="G504">
        <f t="shared" si="63"/>
        <v>1.542956589208581</v>
      </c>
      <c r="H504">
        <f t="shared" si="64"/>
        <v>2.3782092388809115</v>
      </c>
      <c r="J504">
        <f t="shared" si="65"/>
        <v>3.2264529058116297E-2</v>
      </c>
      <c r="K504">
        <f t="shared" si="66"/>
        <v>3.2123129249363656</v>
      </c>
      <c r="L504">
        <v>0</v>
      </c>
    </row>
    <row r="505" spans="1:12" x14ac:dyDescent="0.4">
      <c r="A505">
        <v>493</v>
      </c>
      <c r="B505">
        <f t="shared" si="67"/>
        <v>0.27655310621242502</v>
      </c>
      <c r="C505">
        <f t="shared" si="68"/>
        <v>32.121887701783763</v>
      </c>
      <c r="D505">
        <f t="shared" si="71"/>
        <v>0.49327531616170384</v>
      </c>
      <c r="E505">
        <f t="shared" si="69"/>
        <v>8.609172033413515E-3</v>
      </c>
      <c r="F505">
        <f t="shared" si="70"/>
        <v>3.1431233993327794</v>
      </c>
      <c r="G505">
        <f t="shared" si="63"/>
        <v>1.3249240415855379</v>
      </c>
      <c r="H505">
        <f t="shared" si="64"/>
        <v>2.0404606515119217</v>
      </c>
      <c r="J505">
        <f t="shared" si="65"/>
        <v>2.7655310621242501E-2</v>
      </c>
      <c r="K505">
        <f t="shared" si="66"/>
        <v>3.2121887701783765</v>
      </c>
      <c r="L505">
        <v>0</v>
      </c>
    </row>
    <row r="506" spans="1:12" x14ac:dyDescent="0.4">
      <c r="A506">
        <v>494</v>
      </c>
      <c r="B506">
        <f t="shared" si="67"/>
        <v>0.23046092184368799</v>
      </c>
      <c r="C506">
        <f t="shared" si="68"/>
        <v>32.120821662868167</v>
      </c>
      <c r="D506">
        <f t="shared" si="71"/>
        <v>0.41107950882327809</v>
      </c>
      <c r="E506">
        <f t="shared" si="69"/>
        <v>7.1746293623138812E-3</v>
      </c>
      <c r="F506">
        <f t="shared" si="70"/>
        <v>2.623255040609223</v>
      </c>
      <c r="G506">
        <f t="shared" si="63"/>
        <v>1.1060877658929724</v>
      </c>
      <c r="H506">
        <f t="shared" si="64"/>
        <v>1.7021231266198638</v>
      </c>
      <c r="J506">
        <f t="shared" si="65"/>
        <v>2.3046092184368799E-2</v>
      </c>
      <c r="K506">
        <f t="shared" si="66"/>
        <v>3.2120821662868169</v>
      </c>
      <c r="L506">
        <v>0</v>
      </c>
    </row>
    <row r="507" spans="1:12" x14ac:dyDescent="0.4">
      <c r="A507">
        <v>495</v>
      </c>
      <c r="B507">
        <f t="shared" si="67"/>
        <v>0.18436873747495</v>
      </c>
      <c r="C507">
        <f t="shared" si="68"/>
        <v>32.1199317485341</v>
      </c>
      <c r="D507">
        <f t="shared" si="71"/>
        <v>0.32887474984393189</v>
      </c>
      <c r="E507">
        <f t="shared" si="69"/>
        <v>5.7399156925001943E-3</v>
      </c>
      <c r="F507">
        <f t="shared" si="70"/>
        <v>2.1017786544844057</v>
      </c>
      <c r="G507">
        <f t="shared" si="63"/>
        <v>0.88645195232023688</v>
      </c>
      <c r="H507">
        <f t="shared" si="64"/>
        <v>1.3631516204634913</v>
      </c>
      <c r="J507">
        <f t="shared" si="65"/>
        <v>1.8436873747494999E-2</v>
      </c>
      <c r="K507">
        <f t="shared" si="66"/>
        <v>3.2119931748534101</v>
      </c>
      <c r="L507">
        <v>0</v>
      </c>
    </row>
    <row r="508" spans="1:12" x14ac:dyDescent="0.4">
      <c r="A508">
        <v>496</v>
      </c>
      <c r="B508">
        <f t="shared" si="67"/>
        <v>0.13827655310621301</v>
      </c>
      <c r="C508">
        <f t="shared" si="68"/>
        <v>32.119218576158303</v>
      </c>
      <c r="D508">
        <f t="shared" si="71"/>
        <v>0.24666272419973836</v>
      </c>
      <c r="E508">
        <f t="shared" si="69"/>
        <v>4.3050633810804541E-3</v>
      </c>
      <c r="F508">
        <f t="shared" si="70"/>
        <v>1.578704470677053</v>
      </c>
      <c r="G508">
        <f t="shared" si="63"/>
        <v>0.66602087323865733</v>
      </c>
      <c r="H508">
        <f t="shared" si="64"/>
        <v>1.023500394817682</v>
      </c>
      <c r="J508">
        <f t="shared" si="65"/>
        <v>1.3827655310621301E-2</v>
      </c>
      <c r="K508">
        <f t="shared" si="66"/>
        <v>3.2119218576158302</v>
      </c>
      <c r="L508">
        <v>0</v>
      </c>
    </row>
    <row r="509" spans="1:12" x14ac:dyDescent="0.4">
      <c r="A509">
        <v>497</v>
      </c>
      <c r="B509">
        <f t="shared" si="67"/>
        <v>9.2184368737475E-2</v>
      </c>
      <c r="C509">
        <f t="shared" si="68"/>
        <v>32.11868276462198</v>
      </c>
      <c r="D509">
        <f t="shared" si="71"/>
        <v>0.16444512377782106</v>
      </c>
      <c r="E509">
        <f t="shared" si="69"/>
        <v>2.8701049083420778E-3</v>
      </c>
      <c r="F509">
        <f t="shared" si="70"/>
        <v>1.0540428902476151</v>
      </c>
      <c r="G509">
        <f t="shared" si="63"/>
        <v>0.44479888323489702</v>
      </c>
      <c r="H509">
        <f t="shared" si="64"/>
        <v>0.68312298867042098</v>
      </c>
      <c r="J509">
        <f t="shared" si="65"/>
        <v>9.2184368737474997E-3</v>
      </c>
      <c r="K509">
        <f t="shared" si="66"/>
        <v>3.211868276462198</v>
      </c>
      <c r="L509">
        <v>0</v>
      </c>
    </row>
    <row r="510" spans="1:12" x14ac:dyDescent="0.4">
      <c r="A510">
        <v>498</v>
      </c>
      <c r="B510">
        <f t="shared" si="67"/>
        <v>4.60921843687375E-2</v>
      </c>
      <c r="C510">
        <f t="shared" si="68"/>
        <v>32.118324934356309</v>
      </c>
      <c r="D510">
        <f t="shared" si="71"/>
        <v>8.2223647259067695E-2</v>
      </c>
      <c r="E510">
        <f t="shared" si="69"/>
        <v>1.4350728750956697E-3</v>
      </c>
      <c r="F510">
        <f t="shared" si="70"/>
        <v>0.52780448552363168</v>
      </c>
      <c r="G510">
        <f t="shared" si="63"/>
        <v>0.22279041913228198</v>
      </c>
      <c r="H510">
        <f t="shared" si="64"/>
        <v>0.34197218891637321</v>
      </c>
      <c r="J510">
        <f t="shared" si="65"/>
        <v>4.6092184368737498E-3</v>
      </c>
      <c r="K510">
        <f t="shared" si="66"/>
        <v>3.2118324934356308</v>
      </c>
      <c r="L510">
        <v>0</v>
      </c>
    </row>
    <row r="511" spans="1:12" x14ac:dyDescent="0.4">
      <c r="A511">
        <v>499</v>
      </c>
      <c r="B511">
        <f t="shared" si="67"/>
        <v>0</v>
      </c>
      <c r="C511">
        <f t="shared" si="68"/>
        <v>32.118145707388521</v>
      </c>
      <c r="D511">
        <f t="shared" si="71"/>
        <v>0</v>
      </c>
      <c r="E511">
        <f t="shared" si="69"/>
        <v>0</v>
      </c>
      <c r="F511">
        <f t="shared" si="70"/>
        <v>0</v>
      </c>
      <c r="G511">
        <f t="shared" si="63"/>
        <v>0</v>
      </c>
      <c r="H511">
        <f t="shared" si="64"/>
        <v>0</v>
      </c>
      <c r="J511">
        <f t="shared" si="65"/>
        <v>0</v>
      </c>
      <c r="K511">
        <f t="shared" si="66"/>
        <v>3.2118145707388521</v>
      </c>
      <c r="L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2026-02-17T13:04:12Z</dcterms:modified>
</cp:coreProperties>
</file>