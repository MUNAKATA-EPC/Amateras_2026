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r\OneDrive\ドキュメント\Munako-Amateras\Common\独自ミラー\入射光と反射光で計算\aを細かく分割\"/>
    </mc:Choice>
  </mc:AlternateContent>
  <xr:revisionPtr revIDLastSave="0" documentId="13_ncr:1_{0E288B99-6A13-4436-9B1F-86CF7588E309}" xr6:coauthVersionLast="47" xr6:coauthVersionMax="47" xr10:uidLastSave="{00000000-0000-0000-0000-000000000000}"/>
  <bookViews>
    <workbookView xWindow="4065" yWindow="4065" windowWidth="21600" windowHeight="12645" xr2:uid="{CAB3D606-0D1B-413B-BB70-CADF519DA3F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F3" i="1"/>
  <c r="H4" i="1"/>
  <c r="G12" i="1" l="1"/>
  <c r="A12" i="1" a="1"/>
  <c r="D304" i="1" l="1"/>
  <c r="D436" i="1"/>
  <c r="D114" i="1"/>
  <c r="D222" i="1"/>
  <c r="D247" i="1"/>
  <c r="D283" i="1"/>
  <c r="D331" i="1"/>
  <c r="D430" i="1"/>
  <c r="D442" i="1"/>
  <c r="D205" i="1"/>
  <c r="D479" i="1"/>
  <c r="D193" i="1"/>
  <c r="D493" i="1"/>
  <c r="D456" i="1"/>
  <c r="D468" i="1"/>
  <c r="D492" i="1"/>
  <c r="D504" i="1"/>
  <c r="D73" i="1"/>
  <c r="D157" i="1"/>
  <c r="D302" i="1"/>
  <c r="D465" i="1"/>
  <c r="D381" i="1"/>
  <c r="D45" i="1"/>
  <c r="D200" i="1"/>
  <c r="D297" i="1"/>
  <c r="D137" i="1"/>
  <c r="D185" i="1"/>
  <c r="D428" i="1"/>
  <c r="D116" i="1"/>
  <c r="D213" i="1"/>
  <c r="D413" i="1"/>
  <c r="D440" i="1"/>
  <c r="D53" i="1"/>
  <c r="D201" i="1"/>
  <c r="D113" i="1"/>
  <c r="D464" i="1"/>
  <c r="B511" i="1"/>
  <c r="D511" i="1" s="1"/>
  <c r="B501" i="1"/>
  <c r="D501" i="1" s="1"/>
  <c r="B488" i="1"/>
  <c r="D488" i="1" s="1"/>
  <c r="B460" i="1"/>
  <c r="D460" i="1" s="1"/>
  <c r="B450" i="1"/>
  <c r="D450" i="1" s="1"/>
  <c r="B388" i="1"/>
  <c r="D388" i="1" s="1"/>
  <c r="B358" i="1"/>
  <c r="D358" i="1" s="1"/>
  <c r="B275" i="1"/>
  <c r="D275" i="1" s="1"/>
  <c r="B496" i="1"/>
  <c r="D496" i="1" s="1"/>
  <c r="B384" i="1"/>
  <c r="D384" i="1" s="1"/>
  <c r="B329" i="1"/>
  <c r="D329" i="1" s="1"/>
  <c r="B431" i="1"/>
  <c r="D431" i="1" s="1"/>
  <c r="B373" i="1"/>
  <c r="D373" i="1" s="1"/>
  <c r="B457" i="1"/>
  <c r="D457" i="1" s="1"/>
  <c r="B430" i="1"/>
  <c r="B465" i="1"/>
  <c r="B456" i="1"/>
  <c r="B427" i="1"/>
  <c r="D427" i="1" s="1"/>
  <c r="B412" i="1"/>
  <c r="D412" i="1" s="1"/>
  <c r="B399" i="1"/>
  <c r="D399" i="1" s="1"/>
  <c r="B382" i="1"/>
  <c r="D382" i="1" s="1"/>
  <c r="B315" i="1"/>
  <c r="D315" i="1" s="1"/>
  <c r="B220" i="1"/>
  <c r="D220" i="1" s="1"/>
  <c r="B503" i="1"/>
  <c r="D503" i="1" s="1"/>
  <c r="B387" i="1"/>
  <c r="D387" i="1" s="1"/>
  <c r="B485" i="1"/>
  <c r="D485" i="1" s="1"/>
  <c r="B411" i="1"/>
  <c r="D411" i="1" s="1"/>
  <c r="B369" i="1"/>
  <c r="D369" i="1" s="1"/>
  <c r="B507" i="1"/>
  <c r="D507" i="1" s="1"/>
  <c r="B442" i="1"/>
  <c r="B469" i="1"/>
  <c r="D469" i="1" s="1"/>
  <c r="B500" i="1"/>
  <c r="D500" i="1" s="1"/>
  <c r="B225" i="1"/>
  <c r="D225" i="1" s="1"/>
  <c r="B424" i="1"/>
  <c r="D424" i="1" s="1"/>
  <c r="B393" i="1"/>
  <c r="D393" i="1" s="1"/>
  <c r="B345" i="1"/>
  <c r="D345" i="1" s="1"/>
  <c r="B307" i="1"/>
  <c r="D307" i="1" s="1"/>
  <c r="B206" i="1"/>
  <c r="D206" i="1" s="1"/>
  <c r="B415" i="1"/>
  <c r="D415" i="1" s="1"/>
  <c r="B386" i="1"/>
  <c r="D386" i="1" s="1"/>
  <c r="B413" i="1"/>
  <c r="B350" i="1"/>
  <c r="D350" i="1" s="1"/>
  <c r="B509" i="1"/>
  <c r="D509" i="1" s="1"/>
  <c r="B492" i="1"/>
  <c r="B425" i="1"/>
  <c r="D425" i="1" s="1"/>
  <c r="B499" i="1"/>
  <c r="D499" i="1" s="1"/>
  <c r="B464" i="1"/>
  <c r="B410" i="1"/>
  <c r="D410" i="1" s="1"/>
  <c r="B508" i="1"/>
  <c r="D508" i="1" s="1"/>
  <c r="B505" i="1"/>
  <c r="D505" i="1" s="1"/>
  <c r="B472" i="1"/>
  <c r="D472" i="1" s="1"/>
  <c r="B453" i="1"/>
  <c r="D453" i="1" s="1"/>
  <c r="B446" i="1"/>
  <c r="D446" i="1" s="1"/>
  <c r="B435" i="1"/>
  <c r="D435" i="1" s="1"/>
  <c r="B408" i="1"/>
  <c r="D408" i="1" s="1"/>
  <c r="B342" i="1"/>
  <c r="D342" i="1" s="1"/>
  <c r="B303" i="1"/>
  <c r="D303" i="1" s="1"/>
  <c r="B199" i="1"/>
  <c r="D199" i="1" s="1"/>
  <c r="B510" i="1"/>
  <c r="D510" i="1" s="1"/>
  <c r="B476" i="1"/>
  <c r="D476" i="1" s="1"/>
  <c r="B417" i="1"/>
  <c r="D417" i="1" s="1"/>
  <c r="B354" i="1"/>
  <c r="D354" i="1" s="1"/>
  <c r="B271" i="1"/>
  <c r="D271" i="1" s="1"/>
  <c r="B461" i="1"/>
  <c r="D461" i="1" s="1"/>
  <c r="B406" i="1"/>
  <c r="D406" i="1" s="1"/>
  <c r="B299" i="1"/>
  <c r="D299" i="1" s="1"/>
  <c r="B252" i="1"/>
  <c r="D252" i="1" s="1"/>
  <c r="B191" i="1"/>
  <c r="D191" i="1" s="1"/>
  <c r="B477" i="1"/>
  <c r="D477" i="1" s="1"/>
  <c r="B458" i="1"/>
  <c r="D458" i="1" s="1"/>
  <c r="B400" i="1"/>
  <c r="D400" i="1" s="1"/>
  <c r="B322" i="1"/>
  <c r="D322" i="1" s="1"/>
  <c r="B506" i="1"/>
  <c r="D506" i="1" s="1"/>
  <c r="F12" i="1"/>
  <c r="B502" i="1"/>
  <c r="D502" i="1" s="1"/>
  <c r="B481" i="1"/>
  <c r="D481" i="1" s="1"/>
  <c r="B498" i="1"/>
  <c r="D498" i="1" s="1"/>
  <c r="B392" i="1"/>
  <c r="D392" i="1" s="1"/>
  <c r="B295" i="1"/>
  <c r="D295" i="1" s="1"/>
  <c r="B116" i="1"/>
  <c r="B120" i="1"/>
  <c r="D120" i="1" s="1"/>
  <c r="B124" i="1"/>
  <c r="D124" i="1" s="1"/>
  <c r="B128" i="1"/>
  <c r="D128" i="1" s="1"/>
  <c r="B132" i="1"/>
  <c r="D132" i="1" s="1"/>
  <c r="B136" i="1"/>
  <c r="D136" i="1" s="1"/>
  <c r="B140" i="1"/>
  <c r="D140" i="1" s="1"/>
  <c r="B144" i="1"/>
  <c r="D144" i="1" s="1"/>
  <c r="B148" i="1"/>
  <c r="D148" i="1" s="1"/>
  <c r="B152" i="1"/>
  <c r="D152" i="1" s="1"/>
  <c r="B156" i="1"/>
  <c r="D156" i="1" s="1"/>
  <c r="B160" i="1"/>
  <c r="D160" i="1" s="1"/>
  <c r="B164" i="1"/>
  <c r="D164" i="1" s="1"/>
  <c r="B168" i="1"/>
  <c r="D168" i="1" s="1"/>
  <c r="B172" i="1"/>
  <c r="D172" i="1" s="1"/>
  <c r="B176" i="1"/>
  <c r="D176" i="1" s="1"/>
  <c r="B180" i="1"/>
  <c r="D180" i="1" s="1"/>
  <c r="B184" i="1"/>
  <c r="D184" i="1" s="1"/>
  <c r="B188" i="1"/>
  <c r="D188" i="1" s="1"/>
  <c r="B192" i="1"/>
  <c r="D192" i="1" s="1"/>
  <c r="B205" i="1"/>
  <c r="B209" i="1"/>
  <c r="D209" i="1" s="1"/>
  <c r="B218" i="1"/>
  <c r="D218" i="1" s="1"/>
  <c r="B112" i="1"/>
  <c r="D112" i="1" s="1"/>
  <c r="B201" i="1"/>
  <c r="B210" i="1"/>
  <c r="D210" i="1" s="1"/>
  <c r="B214" i="1"/>
  <c r="D214" i="1" s="1"/>
  <c r="B117" i="1"/>
  <c r="D117" i="1" s="1"/>
  <c r="B121" i="1"/>
  <c r="D121" i="1" s="1"/>
  <c r="B125" i="1"/>
  <c r="D125" i="1" s="1"/>
  <c r="B129" i="1"/>
  <c r="D129" i="1" s="1"/>
  <c r="B133" i="1"/>
  <c r="D133" i="1" s="1"/>
  <c r="B137" i="1"/>
  <c r="B141" i="1"/>
  <c r="D141" i="1" s="1"/>
  <c r="B145" i="1"/>
  <c r="D145" i="1" s="1"/>
  <c r="B149" i="1"/>
  <c r="D149" i="1" s="1"/>
  <c r="B153" i="1"/>
  <c r="D153" i="1" s="1"/>
  <c r="B157" i="1"/>
  <c r="B161" i="1"/>
  <c r="D161" i="1" s="1"/>
  <c r="B165" i="1"/>
  <c r="D165" i="1" s="1"/>
  <c r="B169" i="1"/>
  <c r="D169" i="1" s="1"/>
  <c r="B173" i="1"/>
  <c r="D173" i="1" s="1"/>
  <c r="B177" i="1"/>
  <c r="D177" i="1" s="1"/>
  <c r="B181" i="1"/>
  <c r="D181" i="1" s="1"/>
  <c r="B185" i="1"/>
  <c r="B189" i="1"/>
  <c r="D189" i="1" s="1"/>
  <c r="B193" i="1"/>
  <c r="B198" i="1"/>
  <c r="D198" i="1" s="1"/>
  <c r="B222" i="1"/>
  <c r="B226" i="1"/>
  <c r="D226" i="1" s="1"/>
  <c r="B113" i="1"/>
  <c r="B194" i="1"/>
  <c r="D194" i="1" s="1"/>
  <c r="B211" i="1"/>
  <c r="D211" i="1" s="1"/>
  <c r="B219" i="1"/>
  <c r="D219" i="1" s="1"/>
  <c r="B118" i="1"/>
  <c r="D118" i="1" s="1"/>
  <c r="B122" i="1"/>
  <c r="D122" i="1" s="1"/>
  <c r="B126" i="1"/>
  <c r="D126" i="1" s="1"/>
  <c r="B130" i="1"/>
  <c r="D130" i="1" s="1"/>
  <c r="B134" i="1"/>
  <c r="D134" i="1" s="1"/>
  <c r="B138" i="1"/>
  <c r="D138" i="1" s="1"/>
  <c r="B142" i="1"/>
  <c r="D142" i="1" s="1"/>
  <c r="B146" i="1"/>
  <c r="D146" i="1" s="1"/>
  <c r="B150" i="1"/>
  <c r="D150" i="1" s="1"/>
  <c r="B154" i="1"/>
  <c r="D154" i="1" s="1"/>
  <c r="B158" i="1"/>
  <c r="D158" i="1" s="1"/>
  <c r="B162" i="1"/>
  <c r="D162" i="1" s="1"/>
  <c r="B166" i="1"/>
  <c r="D166" i="1" s="1"/>
  <c r="B170" i="1"/>
  <c r="D170" i="1" s="1"/>
  <c r="B174" i="1"/>
  <c r="D174" i="1" s="1"/>
  <c r="B178" i="1"/>
  <c r="D178" i="1" s="1"/>
  <c r="B182" i="1"/>
  <c r="D182" i="1" s="1"/>
  <c r="B186" i="1"/>
  <c r="D186" i="1" s="1"/>
  <c r="B190" i="1"/>
  <c r="D190" i="1" s="1"/>
  <c r="B215" i="1"/>
  <c r="D215" i="1" s="1"/>
  <c r="B114" i="1"/>
  <c r="B242" i="1"/>
  <c r="D242" i="1" s="1"/>
  <c r="B245" i="1"/>
  <c r="D245" i="1" s="1"/>
  <c r="B249" i="1"/>
  <c r="D249" i="1" s="1"/>
  <c r="B264" i="1"/>
  <c r="D264" i="1" s="1"/>
  <c r="B280" i="1"/>
  <c r="D280" i="1" s="1"/>
  <c r="B288" i="1"/>
  <c r="D288" i="1" s="1"/>
  <c r="B292" i="1"/>
  <c r="D292" i="1" s="1"/>
  <c r="B296" i="1"/>
  <c r="D296" i="1" s="1"/>
  <c r="B300" i="1"/>
  <c r="D300" i="1" s="1"/>
  <c r="B304" i="1"/>
  <c r="B319" i="1"/>
  <c r="D319" i="1" s="1"/>
  <c r="B326" i="1"/>
  <c r="D326" i="1" s="1"/>
  <c r="B339" i="1"/>
  <c r="D339" i="1" s="1"/>
  <c r="B347" i="1"/>
  <c r="D347" i="1" s="1"/>
  <c r="B355" i="1"/>
  <c r="D355" i="1" s="1"/>
  <c r="B362" i="1"/>
  <c r="D362" i="1" s="1"/>
  <c r="B366" i="1"/>
  <c r="D366" i="1" s="1"/>
  <c r="B371" i="1"/>
  <c r="D371" i="1" s="1"/>
  <c r="B374" i="1"/>
  <c r="D374" i="1" s="1"/>
  <c r="B394" i="1"/>
  <c r="D394" i="1" s="1"/>
  <c r="B420" i="1"/>
  <c r="D420" i="1" s="1"/>
  <c r="B432" i="1"/>
  <c r="D432" i="1" s="1"/>
  <c r="B439" i="1"/>
  <c r="D439" i="1" s="1"/>
  <c r="B443" i="1"/>
  <c r="D443" i="1" s="1"/>
  <c r="B447" i="1"/>
  <c r="D447" i="1" s="1"/>
  <c r="B470" i="1"/>
  <c r="D470" i="1" s="1"/>
  <c r="B486" i="1"/>
  <c r="D486" i="1" s="1"/>
  <c r="B494" i="1"/>
  <c r="D494" i="1" s="1"/>
  <c r="B115" i="1"/>
  <c r="D115" i="1" s="1"/>
  <c r="B127" i="1"/>
  <c r="D127" i="1" s="1"/>
  <c r="B200" i="1"/>
  <c r="B221" i="1"/>
  <c r="D221" i="1" s="1"/>
  <c r="B227" i="1"/>
  <c r="D227" i="1" s="1"/>
  <c r="B239" i="1"/>
  <c r="D239" i="1" s="1"/>
  <c r="B257" i="1"/>
  <c r="D257" i="1" s="1"/>
  <c r="B272" i="1"/>
  <c r="D272" i="1" s="1"/>
  <c r="B276" i="1"/>
  <c r="D276" i="1" s="1"/>
  <c r="B316" i="1"/>
  <c r="D316" i="1" s="1"/>
  <c r="B323" i="1"/>
  <c r="D323" i="1" s="1"/>
  <c r="B330" i="1"/>
  <c r="D330" i="1" s="1"/>
  <c r="B343" i="1"/>
  <c r="D343" i="1" s="1"/>
  <c r="B351" i="1"/>
  <c r="D351" i="1" s="1"/>
  <c r="B359" i="1"/>
  <c r="D359" i="1" s="1"/>
  <c r="B363" i="1"/>
  <c r="D363" i="1" s="1"/>
  <c r="B389" i="1"/>
  <c r="D389" i="1" s="1"/>
  <c r="B395" i="1"/>
  <c r="D395" i="1" s="1"/>
  <c r="B401" i="1"/>
  <c r="D401" i="1" s="1"/>
  <c r="B414" i="1"/>
  <c r="D414" i="1" s="1"/>
  <c r="B421" i="1"/>
  <c r="D421" i="1" s="1"/>
  <c r="B426" i="1"/>
  <c r="D426" i="1" s="1"/>
  <c r="B433" i="1"/>
  <c r="D433" i="1" s="1"/>
  <c r="B474" i="1"/>
  <c r="D474" i="1" s="1"/>
  <c r="B490" i="1"/>
  <c r="D490" i="1" s="1"/>
  <c r="B139" i="1"/>
  <c r="D139" i="1" s="1"/>
  <c r="B147" i="1"/>
  <c r="D147" i="1" s="1"/>
  <c r="B155" i="1"/>
  <c r="D155" i="1" s="1"/>
  <c r="B163" i="1"/>
  <c r="D163" i="1" s="1"/>
  <c r="B171" i="1"/>
  <c r="D171" i="1" s="1"/>
  <c r="B179" i="1"/>
  <c r="D179" i="1" s="1"/>
  <c r="B208" i="1"/>
  <c r="D208" i="1" s="1"/>
  <c r="B235" i="1"/>
  <c r="D235" i="1" s="1"/>
  <c r="B253" i="1"/>
  <c r="D253" i="1" s="1"/>
  <c r="B261" i="1"/>
  <c r="D261" i="1" s="1"/>
  <c r="B320" i="1"/>
  <c r="D320" i="1" s="1"/>
  <c r="B335" i="1"/>
  <c r="D335" i="1" s="1"/>
  <c r="B352" i="1"/>
  <c r="D352" i="1" s="1"/>
  <c r="B364" i="1"/>
  <c r="D364" i="1" s="1"/>
  <c r="B187" i="1"/>
  <c r="D187" i="1" s="1"/>
  <c r="B202" i="1"/>
  <c r="D202" i="1" s="1"/>
  <c r="B216" i="1"/>
  <c r="D216" i="1" s="1"/>
  <c r="B232" i="1"/>
  <c r="D232" i="1" s="1"/>
  <c r="B246" i="1"/>
  <c r="D246" i="1" s="1"/>
  <c r="B269" i="1"/>
  <c r="D269" i="1" s="1"/>
  <c r="B281" i="1"/>
  <c r="D281" i="1" s="1"/>
  <c r="B285" i="1"/>
  <c r="D285" i="1" s="1"/>
  <c r="B309" i="1"/>
  <c r="D309" i="1" s="1"/>
  <c r="B327" i="1"/>
  <c r="D327" i="1" s="1"/>
  <c r="B340" i="1"/>
  <c r="D340" i="1" s="1"/>
  <c r="B348" i="1"/>
  <c r="D348" i="1" s="1"/>
  <c r="B356" i="1"/>
  <c r="D356" i="1" s="1"/>
  <c r="B360" i="1"/>
  <c r="D360" i="1" s="1"/>
  <c r="B367" i="1"/>
  <c r="D367" i="1" s="1"/>
  <c r="B375" i="1"/>
  <c r="D375" i="1" s="1"/>
  <c r="B379" i="1"/>
  <c r="D379" i="1" s="1"/>
  <c r="B390" i="1"/>
  <c r="D390" i="1" s="1"/>
  <c r="B396" i="1"/>
  <c r="D396" i="1" s="1"/>
  <c r="B402" i="1"/>
  <c r="D402" i="1" s="1"/>
  <c r="B428" i="1"/>
  <c r="B437" i="1"/>
  <c r="D437" i="1" s="1"/>
  <c r="B440" i="1"/>
  <c r="B444" i="1"/>
  <c r="D444" i="1" s="1"/>
  <c r="B448" i="1"/>
  <c r="D448" i="1" s="1"/>
  <c r="B451" i="1"/>
  <c r="D451" i="1" s="1"/>
  <c r="B455" i="1"/>
  <c r="D455" i="1" s="1"/>
  <c r="B459" i="1"/>
  <c r="D459" i="1" s="1"/>
  <c r="B467" i="1"/>
  <c r="D467" i="1" s="1"/>
  <c r="B483" i="1"/>
  <c r="D483" i="1" s="1"/>
  <c r="B195" i="1"/>
  <c r="D195" i="1" s="1"/>
  <c r="B203" i="1"/>
  <c r="D203" i="1" s="1"/>
  <c r="B250" i="1"/>
  <c r="D250" i="1" s="1"/>
  <c r="B254" i="1"/>
  <c r="D254" i="1" s="1"/>
  <c r="B258" i="1"/>
  <c r="D258" i="1" s="1"/>
  <c r="B265" i="1"/>
  <c r="D265" i="1" s="1"/>
  <c r="B273" i="1"/>
  <c r="D273" i="1" s="1"/>
  <c r="B277" i="1"/>
  <c r="D277" i="1" s="1"/>
  <c r="B289" i="1"/>
  <c r="D289" i="1" s="1"/>
  <c r="B293" i="1"/>
  <c r="D293" i="1" s="1"/>
  <c r="B297" i="1"/>
  <c r="B301" i="1"/>
  <c r="D301" i="1" s="1"/>
  <c r="B305" i="1"/>
  <c r="D305" i="1" s="1"/>
  <c r="B313" i="1"/>
  <c r="D313" i="1" s="1"/>
  <c r="B324" i="1"/>
  <c r="D324" i="1" s="1"/>
  <c r="B331" i="1"/>
  <c r="B336" i="1"/>
  <c r="D336" i="1" s="1"/>
  <c r="B344" i="1"/>
  <c r="D344" i="1" s="1"/>
  <c r="B376" i="1"/>
  <c r="D376" i="1" s="1"/>
  <c r="B380" i="1"/>
  <c r="D380" i="1" s="1"/>
  <c r="B391" i="1"/>
  <c r="D391" i="1" s="1"/>
  <c r="B403" i="1"/>
  <c r="D403" i="1" s="1"/>
  <c r="B422" i="1"/>
  <c r="D422" i="1" s="1"/>
  <c r="B429" i="1"/>
  <c r="D429" i="1" s="1"/>
  <c r="B441" i="1"/>
  <c r="D441" i="1" s="1"/>
  <c r="B445" i="1"/>
  <c r="D445" i="1" s="1"/>
  <c r="B463" i="1"/>
  <c r="D463" i="1" s="1"/>
  <c r="B479" i="1"/>
  <c r="B119" i="1"/>
  <c r="D119" i="1" s="1"/>
  <c r="B131" i="1"/>
  <c r="D131" i="1" s="1"/>
  <c r="B228" i="1"/>
  <c r="D228" i="1" s="1"/>
  <c r="B236" i="1"/>
  <c r="D236" i="1" s="1"/>
  <c r="B240" i="1"/>
  <c r="D240" i="1" s="1"/>
  <c r="B243" i="1"/>
  <c r="D243" i="1" s="1"/>
  <c r="B255" i="1"/>
  <c r="D255" i="1" s="1"/>
  <c r="B282" i="1"/>
  <c r="D282" i="1" s="1"/>
  <c r="B332" i="1"/>
  <c r="D332" i="1" s="1"/>
  <c r="B372" i="1"/>
  <c r="D372" i="1" s="1"/>
  <c r="B381" i="1"/>
  <c r="B385" i="1"/>
  <c r="D385" i="1" s="1"/>
  <c r="B397" i="1"/>
  <c r="D397" i="1" s="1"/>
  <c r="B409" i="1"/>
  <c r="D409" i="1" s="1"/>
  <c r="B423" i="1"/>
  <c r="D423" i="1" s="1"/>
  <c r="B434" i="1"/>
  <c r="D434" i="1" s="1"/>
  <c r="B471" i="1"/>
  <c r="D471" i="1" s="1"/>
  <c r="B487" i="1"/>
  <c r="D487" i="1" s="1"/>
  <c r="B495" i="1"/>
  <c r="D495" i="1" s="1"/>
  <c r="B217" i="1"/>
  <c r="D217" i="1" s="1"/>
  <c r="B223" i="1"/>
  <c r="D223" i="1" s="1"/>
  <c r="B229" i="1"/>
  <c r="D229" i="1" s="1"/>
  <c r="B233" i="1"/>
  <c r="D233" i="1" s="1"/>
  <c r="B247" i="1"/>
  <c r="B262" i="1"/>
  <c r="D262" i="1" s="1"/>
  <c r="B266" i="1"/>
  <c r="D266" i="1" s="1"/>
  <c r="B270" i="1"/>
  <c r="D270" i="1" s="1"/>
  <c r="B286" i="1"/>
  <c r="D286" i="1" s="1"/>
  <c r="B310" i="1"/>
  <c r="D310" i="1" s="1"/>
  <c r="B317" i="1"/>
  <c r="D317" i="1" s="1"/>
  <c r="B328" i="1"/>
  <c r="D328" i="1" s="1"/>
  <c r="B398" i="1"/>
  <c r="D398" i="1" s="1"/>
  <c r="B404" i="1"/>
  <c r="D404" i="1" s="1"/>
  <c r="B416" i="1"/>
  <c r="D416" i="1" s="1"/>
  <c r="B449" i="1"/>
  <c r="D449" i="1" s="1"/>
  <c r="B452" i="1"/>
  <c r="D452" i="1" s="1"/>
  <c r="B468" i="1"/>
  <c r="B475" i="1"/>
  <c r="D475" i="1" s="1"/>
  <c r="B484" i="1"/>
  <c r="D484" i="1" s="1"/>
  <c r="B491" i="1"/>
  <c r="D491" i="1" s="1"/>
  <c r="B196" i="1"/>
  <c r="D196" i="1" s="1"/>
  <c r="B204" i="1"/>
  <c r="D204" i="1" s="1"/>
  <c r="B251" i="1"/>
  <c r="D251" i="1" s="1"/>
  <c r="B290" i="1"/>
  <c r="D290" i="1" s="1"/>
  <c r="B294" i="1"/>
  <c r="D294" i="1" s="1"/>
  <c r="B298" i="1"/>
  <c r="D298" i="1" s="1"/>
  <c r="B302" i="1"/>
  <c r="B306" i="1"/>
  <c r="D306" i="1" s="1"/>
  <c r="B314" i="1"/>
  <c r="D314" i="1" s="1"/>
  <c r="B321" i="1"/>
  <c r="D321" i="1" s="1"/>
  <c r="B341" i="1"/>
  <c r="D341" i="1" s="1"/>
  <c r="B349" i="1"/>
  <c r="D349" i="1" s="1"/>
  <c r="B353" i="1"/>
  <c r="D353" i="1" s="1"/>
  <c r="B357" i="1"/>
  <c r="D357" i="1" s="1"/>
  <c r="B365" i="1"/>
  <c r="D365" i="1" s="1"/>
  <c r="B368" i="1"/>
  <c r="D368" i="1" s="1"/>
  <c r="B377" i="1"/>
  <c r="D377" i="1" s="1"/>
  <c r="B143" i="1"/>
  <c r="D143" i="1" s="1"/>
  <c r="B151" i="1"/>
  <c r="D151" i="1" s="1"/>
  <c r="B159" i="1"/>
  <c r="D159" i="1" s="1"/>
  <c r="B167" i="1"/>
  <c r="D167" i="1" s="1"/>
  <c r="B175" i="1"/>
  <c r="D175" i="1" s="1"/>
  <c r="B183" i="1"/>
  <c r="D183" i="1" s="1"/>
  <c r="B197" i="1"/>
  <c r="D197" i="1" s="1"/>
  <c r="B212" i="1"/>
  <c r="D212" i="1" s="1"/>
  <c r="B230" i="1"/>
  <c r="D230" i="1" s="1"/>
  <c r="B237" i="1"/>
  <c r="D237" i="1" s="1"/>
  <c r="B241" i="1"/>
  <c r="D241" i="1" s="1"/>
  <c r="B244" i="1"/>
  <c r="D244" i="1" s="1"/>
  <c r="B259" i="1"/>
  <c r="D259" i="1" s="1"/>
  <c r="B267" i="1"/>
  <c r="D267" i="1" s="1"/>
  <c r="B274" i="1"/>
  <c r="D274" i="1" s="1"/>
  <c r="B278" i="1"/>
  <c r="D278" i="1" s="1"/>
  <c r="B283" i="1"/>
  <c r="B333" i="1"/>
  <c r="D333" i="1" s="1"/>
  <c r="B123" i="1"/>
  <c r="D123" i="1" s="1"/>
  <c r="B135" i="1"/>
  <c r="D135" i="1" s="1"/>
  <c r="B224" i="1"/>
  <c r="D224" i="1" s="1"/>
  <c r="B234" i="1"/>
  <c r="D234" i="1" s="1"/>
  <c r="B238" i="1"/>
  <c r="D238" i="1" s="1"/>
  <c r="B248" i="1"/>
  <c r="D248" i="1" s="1"/>
  <c r="B256" i="1"/>
  <c r="D256" i="1" s="1"/>
  <c r="B263" i="1"/>
  <c r="D263" i="1" s="1"/>
  <c r="B279" i="1"/>
  <c r="D279" i="1" s="1"/>
  <c r="B287" i="1"/>
  <c r="D287" i="1" s="1"/>
  <c r="B311" i="1"/>
  <c r="D311" i="1" s="1"/>
  <c r="B318" i="1"/>
  <c r="D318" i="1" s="1"/>
  <c r="B325" i="1"/>
  <c r="D325" i="1" s="1"/>
  <c r="B207" i="1"/>
  <c r="D207" i="1" s="1"/>
  <c r="B213" i="1"/>
  <c r="B231" i="1"/>
  <c r="D231" i="1" s="1"/>
  <c r="B260" i="1"/>
  <c r="D260" i="1" s="1"/>
  <c r="B268" i="1"/>
  <c r="D268" i="1" s="1"/>
  <c r="B284" i="1"/>
  <c r="D284" i="1" s="1"/>
  <c r="B308" i="1"/>
  <c r="D308" i="1" s="1"/>
  <c r="B312" i="1"/>
  <c r="D312" i="1" s="1"/>
  <c r="B334" i="1"/>
  <c r="D334" i="1" s="1"/>
  <c r="B338" i="1"/>
  <c r="D338" i="1" s="1"/>
  <c r="B346" i="1"/>
  <c r="D346" i="1" s="1"/>
  <c r="B370" i="1"/>
  <c r="D370" i="1" s="1"/>
  <c r="B378" i="1"/>
  <c r="D378" i="1" s="1"/>
  <c r="B383" i="1"/>
  <c r="D383" i="1" s="1"/>
  <c r="B407" i="1"/>
  <c r="D407" i="1" s="1"/>
  <c r="B419" i="1"/>
  <c r="D419" i="1" s="1"/>
  <c r="B454" i="1"/>
  <c r="D454" i="1" s="1"/>
  <c r="B462" i="1"/>
  <c r="D462" i="1" s="1"/>
  <c r="B466" i="1"/>
  <c r="D466" i="1" s="1"/>
  <c r="B478" i="1"/>
  <c r="D478" i="1" s="1"/>
  <c r="B482" i="1"/>
  <c r="D482" i="1" s="1"/>
  <c r="B493" i="1"/>
  <c r="B438" i="1"/>
  <c r="D438" i="1" s="1"/>
  <c r="B473" i="1"/>
  <c r="D473" i="1" s="1"/>
  <c r="B436" i="1"/>
  <c r="B504" i="1"/>
  <c r="B497" i="1"/>
  <c r="D497" i="1" s="1"/>
  <c r="B489" i="1"/>
  <c r="D489" i="1" s="1"/>
  <c r="B480" i="1"/>
  <c r="D480" i="1" s="1"/>
  <c r="B418" i="1"/>
  <c r="D418" i="1" s="1"/>
  <c r="B405" i="1"/>
  <c r="D405" i="1" s="1"/>
  <c r="B361" i="1"/>
  <c r="D361" i="1" s="1"/>
  <c r="B337" i="1"/>
  <c r="D337" i="1" s="1"/>
  <c r="B291" i="1"/>
  <c r="D291" i="1" s="1"/>
  <c r="B17" i="1"/>
  <c r="D17" i="1" s="1"/>
  <c r="B22" i="1"/>
  <c r="D22" i="1" s="1"/>
  <c r="B45" i="1"/>
  <c r="B50" i="1"/>
  <c r="D50" i="1" s="1"/>
  <c r="B65" i="1"/>
  <c r="D65" i="1" s="1"/>
  <c r="B70" i="1"/>
  <c r="D70" i="1" s="1"/>
  <c r="B79" i="1"/>
  <c r="D79" i="1" s="1"/>
  <c r="B96" i="1"/>
  <c r="D96" i="1" s="1"/>
  <c r="B99" i="1"/>
  <c r="D99" i="1" s="1"/>
  <c r="B110" i="1"/>
  <c r="D110" i="1" s="1"/>
  <c r="B18" i="1"/>
  <c r="D18" i="1" s="1"/>
  <c r="B31" i="1"/>
  <c r="D31" i="1" s="1"/>
  <c r="B60" i="1"/>
  <c r="D60" i="1" s="1"/>
  <c r="B66" i="1"/>
  <c r="D66" i="1" s="1"/>
  <c r="B75" i="1"/>
  <c r="D75" i="1" s="1"/>
  <c r="B89" i="1"/>
  <c r="D89" i="1" s="1"/>
  <c r="B107" i="1"/>
  <c r="D107" i="1" s="1"/>
  <c r="B47" i="1"/>
  <c r="D47" i="1" s="1"/>
  <c r="B108" i="1"/>
  <c r="D108" i="1" s="1"/>
  <c r="B56" i="1"/>
  <c r="D56" i="1" s="1"/>
  <c r="B72" i="1"/>
  <c r="D72" i="1" s="1"/>
  <c r="B15" i="1"/>
  <c r="D15" i="1" s="1"/>
  <c r="B78" i="1"/>
  <c r="D78" i="1" s="1"/>
  <c r="B54" i="1"/>
  <c r="D54" i="1" s="1"/>
  <c r="B68" i="1"/>
  <c r="D68" i="1" s="1"/>
  <c r="B109" i="1"/>
  <c r="D109" i="1" s="1"/>
  <c r="B40" i="1"/>
  <c r="D40" i="1" s="1"/>
  <c r="B111" i="1"/>
  <c r="D111" i="1" s="1"/>
  <c r="B77" i="1"/>
  <c r="D77" i="1" s="1"/>
  <c r="B34" i="1"/>
  <c r="D34" i="1" s="1"/>
  <c r="B43" i="1"/>
  <c r="D43" i="1" s="1"/>
  <c r="B98" i="1"/>
  <c r="D98" i="1" s="1"/>
  <c r="B102" i="1"/>
  <c r="D102" i="1" s="1"/>
  <c r="B35" i="1"/>
  <c r="D35" i="1" s="1"/>
  <c r="B69" i="1"/>
  <c r="D69" i="1" s="1"/>
  <c r="B13" i="1"/>
  <c r="D13" i="1" s="1"/>
  <c r="B27" i="1"/>
  <c r="D27" i="1" s="1"/>
  <c r="B41" i="1"/>
  <c r="D41" i="1" s="1"/>
  <c r="B46" i="1"/>
  <c r="D46" i="1" s="1"/>
  <c r="B55" i="1"/>
  <c r="D55" i="1" s="1"/>
  <c r="B71" i="1"/>
  <c r="D71" i="1" s="1"/>
  <c r="B85" i="1"/>
  <c r="D85" i="1" s="1"/>
  <c r="B100" i="1"/>
  <c r="D100" i="1" s="1"/>
  <c r="B103" i="1"/>
  <c r="D103" i="1" s="1"/>
  <c r="B23" i="1"/>
  <c r="D23" i="1" s="1"/>
  <c r="B51" i="1"/>
  <c r="D51" i="1" s="1"/>
  <c r="B76" i="1"/>
  <c r="D76" i="1" s="1"/>
  <c r="B80" i="1"/>
  <c r="D80" i="1" s="1"/>
  <c r="B92" i="1"/>
  <c r="D92" i="1" s="1"/>
  <c r="B24" i="1"/>
  <c r="D24" i="1" s="1"/>
  <c r="B93" i="1"/>
  <c r="D93" i="1" s="1"/>
  <c r="B101" i="1"/>
  <c r="D101" i="1" s="1"/>
  <c r="B62" i="1"/>
  <c r="D62" i="1" s="1"/>
  <c r="B87" i="1"/>
  <c r="D87" i="1" s="1"/>
  <c r="B105" i="1"/>
  <c r="D105" i="1" s="1"/>
  <c r="B36" i="1"/>
  <c r="D36" i="1" s="1"/>
  <c r="B42" i="1"/>
  <c r="D42" i="1" s="1"/>
  <c r="B37" i="1"/>
  <c r="D37" i="1" s="1"/>
  <c r="B61" i="1"/>
  <c r="D61" i="1" s="1"/>
  <c r="B86" i="1"/>
  <c r="D86" i="1" s="1"/>
  <c r="B97" i="1"/>
  <c r="D97" i="1" s="1"/>
  <c r="B82" i="1"/>
  <c r="D82" i="1" s="1"/>
  <c r="B104" i="1"/>
  <c r="D104" i="1" s="1"/>
  <c r="B16" i="1"/>
  <c r="D16" i="1" s="1"/>
  <c r="B64" i="1"/>
  <c r="D64" i="1" s="1"/>
  <c r="B95" i="1"/>
  <c r="D95" i="1" s="1"/>
  <c r="B88" i="1"/>
  <c r="D88" i="1" s="1"/>
  <c r="B26" i="1"/>
  <c r="D26" i="1" s="1"/>
  <c r="B14" i="1"/>
  <c r="D14" i="1" s="1"/>
  <c r="B28" i="1"/>
  <c r="D28" i="1" s="1"/>
  <c r="B32" i="1"/>
  <c r="D32" i="1" s="1"/>
  <c r="B81" i="1"/>
  <c r="D81" i="1" s="1"/>
  <c r="B57" i="1"/>
  <c r="D57" i="1" s="1"/>
  <c r="B48" i="1"/>
  <c r="D48" i="1" s="1"/>
  <c r="B30" i="1"/>
  <c r="D30" i="1" s="1"/>
  <c r="B73" i="1"/>
  <c r="B74" i="1"/>
  <c r="D74" i="1" s="1"/>
  <c r="B20" i="1"/>
  <c r="D20" i="1" s="1"/>
  <c r="B91" i="1"/>
  <c r="D91" i="1" s="1"/>
  <c r="B84" i="1"/>
  <c r="D84" i="1" s="1"/>
  <c r="B44" i="1"/>
  <c r="D44" i="1" s="1"/>
  <c r="B59" i="1"/>
  <c r="D59" i="1" s="1"/>
  <c r="B21" i="1"/>
  <c r="D21" i="1" s="1"/>
  <c r="B25" i="1"/>
  <c r="D25" i="1" s="1"/>
  <c r="B58" i="1"/>
  <c r="D58" i="1" s="1"/>
  <c r="B94" i="1"/>
  <c r="D94" i="1" s="1"/>
  <c r="B67" i="1"/>
  <c r="D67" i="1" s="1"/>
  <c r="B38" i="1"/>
  <c r="D38" i="1" s="1"/>
  <c r="B19" i="1"/>
  <c r="D19" i="1" s="1"/>
  <c r="B106" i="1"/>
  <c r="D106" i="1" s="1"/>
  <c r="B49" i="1"/>
  <c r="D49" i="1" s="1"/>
  <c r="B39" i="1"/>
  <c r="D39" i="1" s="1"/>
  <c r="B83" i="1"/>
  <c r="D83" i="1" s="1"/>
  <c r="B53" i="1"/>
  <c r="B63" i="1"/>
  <c r="D63" i="1" s="1"/>
  <c r="B29" i="1"/>
  <c r="D29" i="1" s="1"/>
  <c r="B90" i="1"/>
  <c r="D90" i="1" s="1"/>
  <c r="B52" i="1"/>
  <c r="D52" i="1" s="1"/>
  <c r="B33" i="1"/>
  <c r="D33" i="1" s="1"/>
  <c r="A12" i="1"/>
  <c r="C36" i="1" l="1"/>
  <c r="C256" i="1"/>
  <c r="C143" i="1"/>
  <c r="E298" i="1"/>
  <c r="C298" i="1"/>
  <c r="C416" i="1"/>
  <c r="C229" i="1"/>
  <c r="C372" i="1"/>
  <c r="C445" i="1"/>
  <c r="C313" i="1"/>
  <c r="E203" i="1"/>
  <c r="C203" i="1"/>
  <c r="C402" i="1"/>
  <c r="C285" i="1"/>
  <c r="C261" i="1"/>
  <c r="C433" i="1"/>
  <c r="C323" i="1"/>
  <c r="E486" i="1"/>
  <c r="C486" i="1"/>
  <c r="C355" i="1"/>
  <c r="C249" i="1"/>
  <c r="C162" i="1"/>
  <c r="C219" i="1"/>
  <c r="C173" i="1"/>
  <c r="E125" i="1"/>
  <c r="C125" i="1"/>
  <c r="C184" i="1"/>
  <c r="C136" i="1"/>
  <c r="C506" i="1"/>
  <c r="C417" i="1"/>
  <c r="C508" i="1"/>
  <c r="E307" i="1"/>
  <c r="C307" i="1"/>
  <c r="C387" i="1"/>
  <c r="C373" i="1"/>
  <c r="C49" i="1"/>
  <c r="C91" i="1"/>
  <c r="C88" i="1"/>
  <c r="E105" i="1"/>
  <c r="C105" i="1"/>
  <c r="C100" i="1"/>
  <c r="C43" i="1"/>
  <c r="C108" i="1"/>
  <c r="C79" i="1"/>
  <c r="C480" i="1"/>
  <c r="E454" i="1"/>
  <c r="C454" i="1"/>
  <c r="C268" i="1"/>
  <c r="C248" i="1"/>
  <c r="C244" i="1"/>
  <c r="C377" i="1"/>
  <c r="C294" i="1"/>
  <c r="E404" i="1"/>
  <c r="C404" i="1"/>
  <c r="C223" i="1"/>
  <c r="C332" i="1"/>
  <c r="C441" i="1"/>
  <c r="C305" i="1"/>
  <c r="C195" i="1"/>
  <c r="E396" i="1"/>
  <c r="C396" i="1"/>
  <c r="C281" i="1"/>
  <c r="C253" i="1"/>
  <c r="C426" i="1"/>
  <c r="C316" i="1"/>
  <c r="C470" i="1"/>
  <c r="E347" i="1"/>
  <c r="C347" i="1"/>
  <c r="C245" i="1"/>
  <c r="C158" i="1"/>
  <c r="C211" i="1"/>
  <c r="C169" i="1"/>
  <c r="C121" i="1"/>
  <c r="E180" i="1"/>
  <c r="C180" i="1"/>
  <c r="C132" i="1"/>
  <c r="C322" i="1"/>
  <c r="C476" i="1"/>
  <c r="C410" i="1"/>
  <c r="C345" i="1"/>
  <c r="E503" i="1"/>
  <c r="C503" i="1"/>
  <c r="C431" i="1"/>
  <c r="C329" i="1"/>
  <c r="C462" i="1"/>
  <c r="C34" i="1"/>
  <c r="C238" i="1"/>
  <c r="E282" i="1"/>
  <c r="C282" i="1"/>
  <c r="C301" i="1"/>
  <c r="C269" i="1"/>
  <c r="C421" i="1"/>
  <c r="C447" i="1"/>
  <c r="C242" i="1"/>
  <c r="E154" i="1"/>
  <c r="C154" i="1"/>
  <c r="C165" i="1"/>
  <c r="C117" i="1"/>
  <c r="C176" i="1"/>
  <c r="C128" i="1"/>
  <c r="C400" i="1"/>
  <c r="E510" i="1"/>
  <c r="C510" i="1"/>
  <c r="C393" i="1"/>
  <c r="C220" i="1"/>
  <c r="C19" i="1"/>
  <c r="C74" i="1"/>
  <c r="C64" i="1"/>
  <c r="E62" i="1"/>
  <c r="C62" i="1"/>
  <c r="C71" i="1"/>
  <c r="C77" i="1"/>
  <c r="C107" i="1"/>
  <c r="C65" i="1"/>
  <c r="C497" i="1"/>
  <c r="E407" i="1"/>
  <c r="C407" i="1"/>
  <c r="C231" i="1"/>
  <c r="C234" i="1"/>
  <c r="C237" i="1"/>
  <c r="C365" i="1"/>
  <c r="C251" i="1"/>
  <c r="E328" i="1"/>
  <c r="C328" i="1"/>
  <c r="C495" i="1"/>
  <c r="C255" i="1"/>
  <c r="C422" i="1"/>
  <c r="C297" i="1"/>
  <c r="C467" i="1"/>
  <c r="E379" i="1"/>
  <c r="C379" i="1"/>
  <c r="C246" i="1"/>
  <c r="C208" i="1"/>
  <c r="C414" i="1"/>
  <c r="C272" i="1"/>
  <c r="C443" i="1"/>
  <c r="E326" i="1"/>
  <c r="C326" i="1"/>
  <c r="C114" i="1"/>
  <c r="C150" i="1"/>
  <c r="C113" i="1"/>
  <c r="C161" i="1"/>
  <c r="C214" i="1"/>
  <c r="E172" i="1"/>
  <c r="C172" i="1"/>
  <c r="C124" i="1"/>
  <c r="C458" i="1"/>
  <c r="C199" i="1"/>
  <c r="C499" i="1"/>
  <c r="C424" i="1"/>
  <c r="E315" i="1"/>
  <c r="C315" i="1"/>
  <c r="C384" i="1"/>
  <c r="C84" i="1"/>
  <c r="C284" i="1"/>
  <c r="C47" i="1"/>
  <c r="C419" i="1"/>
  <c r="E217" i="1"/>
  <c r="C217" i="1"/>
  <c r="C429" i="1"/>
  <c r="E390" i="1"/>
  <c r="C390" i="1"/>
  <c r="C235" i="1"/>
  <c r="C276" i="1"/>
  <c r="C339" i="1"/>
  <c r="E194" i="1"/>
  <c r="C194" i="1"/>
  <c r="C464" i="1"/>
  <c r="E38" i="1"/>
  <c r="C38" i="1"/>
  <c r="C73" i="1"/>
  <c r="C16" i="1"/>
  <c r="C101" i="1"/>
  <c r="E55" i="1"/>
  <c r="C55" i="1"/>
  <c r="C111" i="1"/>
  <c r="C89" i="1"/>
  <c r="C50" i="1"/>
  <c r="C504" i="1"/>
  <c r="C383" i="1"/>
  <c r="E213" i="1"/>
  <c r="C213" i="1"/>
  <c r="C224" i="1"/>
  <c r="E230" i="1"/>
  <c r="C230" i="1"/>
  <c r="C357" i="1"/>
  <c r="C204" i="1"/>
  <c r="C317" i="1"/>
  <c r="E487" i="1"/>
  <c r="C487" i="1"/>
  <c r="C243" i="1"/>
  <c r="E403" i="1"/>
  <c r="C403" i="1"/>
  <c r="C293" i="1"/>
  <c r="C459" i="1"/>
  <c r="C375" i="1"/>
  <c r="E232" i="1"/>
  <c r="C232" i="1"/>
  <c r="C179" i="1"/>
  <c r="E401" i="1"/>
  <c r="C401" i="1"/>
  <c r="C257" i="1"/>
  <c r="C439" i="1"/>
  <c r="C319" i="1"/>
  <c r="E215" i="1"/>
  <c r="C215" i="1"/>
  <c r="C146" i="1"/>
  <c r="E226" i="1"/>
  <c r="C226" i="1"/>
  <c r="C157" i="1"/>
  <c r="C210" i="1"/>
  <c r="C168" i="1"/>
  <c r="E120" i="1"/>
  <c r="C120" i="1"/>
  <c r="C477" i="1"/>
  <c r="E303" i="1"/>
  <c r="C303" i="1"/>
  <c r="C425" i="1"/>
  <c r="C225" i="1"/>
  <c r="C382" i="1"/>
  <c r="E496" i="1"/>
  <c r="C496" i="1"/>
  <c r="C103" i="1"/>
  <c r="E489" i="1"/>
  <c r="C489" i="1"/>
  <c r="C483" i="1"/>
  <c r="C33" i="1"/>
  <c r="C67" i="1"/>
  <c r="E30" i="1"/>
  <c r="C30" i="1"/>
  <c r="C104" i="1"/>
  <c r="E93" i="1"/>
  <c r="C93" i="1"/>
  <c r="C46" i="1"/>
  <c r="C40" i="1"/>
  <c r="C75" i="1"/>
  <c r="E45" i="1"/>
  <c r="C45" i="1"/>
  <c r="C436" i="1"/>
  <c r="E378" i="1"/>
  <c r="C378" i="1"/>
  <c r="C207" i="1"/>
  <c r="C135" i="1"/>
  <c r="C212" i="1"/>
  <c r="E353" i="1"/>
  <c r="C353" i="1"/>
  <c r="C196" i="1"/>
  <c r="E310" i="1"/>
  <c r="C310" i="1"/>
  <c r="C471" i="1"/>
  <c r="C240" i="1"/>
  <c r="C391" i="1"/>
  <c r="E289" i="1"/>
  <c r="C289" i="1"/>
  <c r="C455" i="1"/>
  <c r="E367" i="1"/>
  <c r="C367" i="1"/>
  <c r="C216" i="1"/>
  <c r="C171" i="1"/>
  <c r="C395" i="1"/>
  <c r="E239" i="1"/>
  <c r="C239" i="1"/>
  <c r="C432" i="1"/>
  <c r="E304" i="1"/>
  <c r="C304" i="1"/>
  <c r="C190" i="1"/>
  <c r="C142" i="1"/>
  <c r="C222" i="1"/>
  <c r="E153" i="1"/>
  <c r="C153" i="1"/>
  <c r="C201" i="1"/>
  <c r="E164" i="1"/>
  <c r="C164" i="1"/>
  <c r="C116" i="1"/>
  <c r="C191" i="1"/>
  <c r="C342" i="1"/>
  <c r="E492" i="1"/>
  <c r="C492" i="1"/>
  <c r="C500" i="1"/>
  <c r="E399" i="1"/>
  <c r="C399" i="1"/>
  <c r="C275" i="1"/>
  <c r="C358" i="1"/>
  <c r="C56" i="1"/>
  <c r="E106" i="1"/>
  <c r="C106" i="1"/>
  <c r="C70" i="1"/>
  <c r="E398" i="1"/>
  <c r="C398" i="1"/>
  <c r="C41" i="1"/>
  <c r="C325" i="1"/>
  <c r="C277" i="1"/>
  <c r="E412" i="1"/>
  <c r="C412" i="1"/>
  <c r="C90" i="1"/>
  <c r="E58" i="1"/>
  <c r="C58" i="1"/>
  <c r="C57" i="1"/>
  <c r="C97" i="1"/>
  <c r="C92" i="1"/>
  <c r="E27" i="1"/>
  <c r="C27" i="1"/>
  <c r="C68" i="1"/>
  <c r="E60" i="1"/>
  <c r="C60" i="1"/>
  <c r="C17" i="1"/>
  <c r="C438" i="1"/>
  <c r="C346" i="1"/>
  <c r="E318" i="1"/>
  <c r="C318" i="1"/>
  <c r="C333" i="1"/>
  <c r="E183" i="1"/>
  <c r="C183" i="1"/>
  <c r="C341" i="1"/>
  <c r="C484" i="1"/>
  <c r="C270" i="1"/>
  <c r="E423" i="1"/>
  <c r="C423" i="1"/>
  <c r="C228" i="1"/>
  <c r="E376" i="1"/>
  <c r="C376" i="1"/>
  <c r="C273" i="1"/>
  <c r="C448" i="1"/>
  <c r="C356" i="1"/>
  <c r="E187" i="1"/>
  <c r="C187" i="1"/>
  <c r="C155" i="1"/>
  <c r="E363" i="1"/>
  <c r="C363" i="1"/>
  <c r="C221" i="1"/>
  <c r="C394" i="1"/>
  <c r="C296" i="1"/>
  <c r="E182" i="1"/>
  <c r="C182" i="1"/>
  <c r="C134" i="1"/>
  <c r="E193" i="1"/>
  <c r="C193" i="1"/>
  <c r="C145" i="1"/>
  <c r="C218" i="1"/>
  <c r="C156" i="1"/>
  <c r="E392" i="1"/>
  <c r="C392" i="1"/>
  <c r="C299" i="1"/>
  <c r="E435" i="1"/>
  <c r="C435" i="1"/>
  <c r="C350" i="1"/>
  <c r="C442" i="1"/>
  <c r="C427" i="1"/>
  <c r="E388" i="1"/>
  <c r="C388" i="1"/>
  <c r="E96" i="1"/>
  <c r="C96" i="1"/>
  <c r="E87" i="1"/>
  <c r="C87" i="1"/>
  <c r="C241" i="1"/>
  <c r="C94" i="1"/>
  <c r="C109" i="1"/>
  <c r="E370" i="1"/>
  <c r="C370" i="1"/>
  <c r="C349" i="1"/>
  <c r="C380" i="1"/>
  <c r="C202" i="1"/>
  <c r="C420" i="1"/>
  <c r="C138" i="1"/>
  <c r="E408" i="1"/>
  <c r="C408" i="1"/>
  <c r="C29" i="1"/>
  <c r="E81" i="1"/>
  <c r="C81" i="1"/>
  <c r="C86" i="1"/>
  <c r="C80" i="1"/>
  <c r="C13" i="1"/>
  <c r="E54" i="1"/>
  <c r="C54" i="1"/>
  <c r="C31" i="1"/>
  <c r="E291" i="1"/>
  <c r="C291" i="1"/>
  <c r="C493" i="1"/>
  <c r="C338" i="1"/>
  <c r="C311" i="1"/>
  <c r="E283" i="1"/>
  <c r="C283" i="1"/>
  <c r="C175" i="1"/>
  <c r="E321" i="1"/>
  <c r="C321" i="1"/>
  <c r="C475" i="1"/>
  <c r="C266" i="1"/>
  <c r="C409" i="1"/>
  <c r="E131" i="1"/>
  <c r="C131" i="1"/>
  <c r="C344" i="1"/>
  <c r="E265" i="1"/>
  <c r="C265" i="1"/>
  <c r="C444" i="1"/>
  <c r="C348" i="1"/>
  <c r="C364" i="1"/>
  <c r="E147" i="1"/>
  <c r="C147" i="1"/>
  <c r="C359" i="1"/>
  <c r="E200" i="1"/>
  <c r="C200" i="1"/>
  <c r="C374" i="1"/>
  <c r="C292" i="1"/>
  <c r="C178" i="1"/>
  <c r="E130" i="1"/>
  <c r="C130" i="1"/>
  <c r="C189" i="1"/>
  <c r="E141" i="1"/>
  <c r="C141" i="1"/>
  <c r="C209" i="1"/>
  <c r="C152" i="1"/>
  <c r="C498" i="1"/>
  <c r="C406" i="1"/>
  <c r="C446" i="1"/>
  <c r="E413" i="1"/>
  <c r="C413" i="1"/>
  <c r="C507" i="1"/>
  <c r="C456" i="1"/>
  <c r="C450" i="1"/>
  <c r="E418" i="1"/>
  <c r="C418" i="1"/>
  <c r="C20" i="1"/>
  <c r="E368" i="1"/>
  <c r="C368" i="1"/>
  <c r="C48" i="1"/>
  <c r="C66" i="1"/>
  <c r="C123" i="1"/>
  <c r="E491" i="1"/>
  <c r="C491" i="1"/>
  <c r="C236" i="1"/>
  <c r="E360" i="1"/>
  <c r="C360" i="1"/>
  <c r="C227" i="1"/>
  <c r="C186" i="1"/>
  <c r="C149" i="1"/>
  <c r="E252" i="1"/>
  <c r="C252" i="1"/>
  <c r="C63" i="1"/>
  <c r="E32" i="1"/>
  <c r="C32" i="1"/>
  <c r="C61" i="1"/>
  <c r="C76" i="1"/>
  <c r="C69" i="1"/>
  <c r="E78" i="1"/>
  <c r="C78" i="1"/>
  <c r="C18" i="1"/>
  <c r="E337" i="1"/>
  <c r="C337" i="1"/>
  <c r="C482" i="1"/>
  <c r="C334" i="1"/>
  <c r="C287" i="1"/>
  <c r="E278" i="1"/>
  <c r="C278" i="1"/>
  <c r="C167" i="1"/>
  <c r="E314" i="1"/>
  <c r="C314" i="1"/>
  <c r="C468" i="1"/>
  <c r="C262" i="1"/>
  <c r="C397" i="1"/>
  <c r="E119" i="1"/>
  <c r="C119" i="1"/>
  <c r="C336" i="1"/>
  <c r="E258" i="1"/>
  <c r="C258" i="1"/>
  <c r="C440" i="1"/>
  <c r="E340" i="1"/>
  <c r="C340" i="1"/>
  <c r="C352" i="1"/>
  <c r="E139" i="1"/>
  <c r="C139" i="1"/>
  <c r="C351" i="1"/>
  <c r="E127" i="1"/>
  <c r="C127" i="1"/>
  <c r="C371" i="1"/>
  <c r="C288" i="1"/>
  <c r="C174" i="1"/>
  <c r="E126" i="1"/>
  <c r="C126" i="1"/>
  <c r="C185" i="1"/>
  <c r="E137" i="1"/>
  <c r="C137" i="1"/>
  <c r="C205" i="1"/>
  <c r="C148" i="1"/>
  <c r="C481" i="1"/>
  <c r="C461" i="1"/>
  <c r="C453" i="1"/>
  <c r="E386" i="1"/>
  <c r="C386" i="1"/>
  <c r="C369" i="1"/>
  <c r="C465" i="1"/>
  <c r="C460" i="1"/>
  <c r="C39" i="1"/>
  <c r="C259" i="1"/>
  <c r="E85" i="1"/>
  <c r="C85" i="1"/>
  <c r="C260" i="1"/>
  <c r="C52" i="1"/>
  <c r="C24" i="1"/>
  <c r="E22" i="1"/>
  <c r="C22" i="1"/>
  <c r="C197" i="1"/>
  <c r="E434" i="1"/>
  <c r="C434" i="1"/>
  <c r="C451" i="1"/>
  <c r="C389" i="1"/>
  <c r="C300" i="1"/>
  <c r="E198" i="1"/>
  <c r="C198" i="1"/>
  <c r="C112" i="1"/>
  <c r="E160" i="1"/>
  <c r="C160" i="1"/>
  <c r="C295" i="1"/>
  <c r="C469" i="1"/>
  <c r="C25" i="1"/>
  <c r="E59" i="1"/>
  <c r="C59" i="1"/>
  <c r="C28" i="1"/>
  <c r="E37" i="1"/>
  <c r="C37" i="1"/>
  <c r="C51" i="1"/>
  <c r="C35" i="1"/>
  <c r="C15" i="1"/>
  <c r="E110" i="1"/>
  <c r="C110" i="1"/>
  <c r="C361" i="1"/>
  <c r="E478" i="1"/>
  <c r="C478" i="1"/>
  <c r="C312" i="1"/>
  <c r="C279" i="1"/>
  <c r="C274" i="1"/>
  <c r="E159" i="1"/>
  <c r="C159" i="1"/>
  <c r="C306" i="1"/>
  <c r="E452" i="1"/>
  <c r="C452" i="1"/>
  <c r="C247" i="1"/>
  <c r="E385" i="1"/>
  <c r="C385" i="1"/>
  <c r="C479" i="1"/>
  <c r="E331" i="1"/>
  <c r="C331" i="1"/>
  <c r="C254" i="1"/>
  <c r="E437" i="1"/>
  <c r="C437" i="1"/>
  <c r="C327" i="1"/>
  <c r="C335" i="1"/>
  <c r="C490" i="1"/>
  <c r="E343" i="1"/>
  <c r="C343" i="1"/>
  <c r="C115" i="1"/>
  <c r="E366" i="1"/>
  <c r="C366" i="1"/>
  <c r="C280" i="1"/>
  <c r="C170" i="1"/>
  <c r="C122" i="1"/>
  <c r="E181" i="1"/>
  <c r="C181" i="1"/>
  <c r="C133" i="1"/>
  <c r="E192" i="1"/>
  <c r="C192" i="1"/>
  <c r="E144" i="1"/>
  <c r="C144" i="1"/>
  <c r="C502" i="1"/>
  <c r="E271" i="1"/>
  <c r="C271" i="1"/>
  <c r="E472" i="1"/>
  <c r="C472" i="1"/>
  <c r="C415" i="1"/>
  <c r="E411" i="1"/>
  <c r="C411" i="1"/>
  <c r="C430" i="1"/>
  <c r="C488" i="1"/>
  <c r="C26" i="1"/>
  <c r="E98" i="1"/>
  <c r="C98" i="1"/>
  <c r="E95" i="1"/>
  <c r="C95" i="1"/>
  <c r="E290" i="1"/>
  <c r="C290" i="1"/>
  <c r="E82" i="1"/>
  <c r="C82" i="1"/>
  <c r="C473" i="1"/>
  <c r="E286" i="1"/>
  <c r="C286" i="1"/>
  <c r="C163" i="1"/>
  <c r="C509" i="1"/>
  <c r="E21" i="1"/>
  <c r="C21" i="1"/>
  <c r="C53" i="1"/>
  <c r="C83" i="1"/>
  <c r="C44" i="1"/>
  <c r="E14" i="1"/>
  <c r="C14" i="1"/>
  <c r="C42" i="1"/>
  <c r="E23" i="1"/>
  <c r="C23" i="1"/>
  <c r="E102" i="1"/>
  <c r="C102" i="1"/>
  <c r="E72" i="1"/>
  <c r="C72" i="1"/>
  <c r="E99" i="1"/>
  <c r="C99" i="1"/>
  <c r="E405" i="1"/>
  <c r="C405" i="1"/>
  <c r="C466" i="1"/>
  <c r="E308" i="1"/>
  <c r="C308" i="1"/>
  <c r="C263" i="1"/>
  <c r="E267" i="1"/>
  <c r="C267" i="1"/>
  <c r="C151" i="1"/>
  <c r="E302" i="1"/>
  <c r="C302" i="1"/>
  <c r="E449" i="1"/>
  <c r="C449" i="1"/>
  <c r="E233" i="1"/>
  <c r="C233" i="1"/>
  <c r="C381" i="1"/>
  <c r="C463" i="1"/>
  <c r="C324" i="1"/>
  <c r="E250" i="1"/>
  <c r="C250" i="1"/>
  <c r="C428" i="1"/>
  <c r="E309" i="1"/>
  <c r="C309" i="1"/>
  <c r="C320" i="1"/>
  <c r="C474" i="1"/>
  <c r="C330" i="1"/>
  <c r="E494" i="1"/>
  <c r="C494" i="1"/>
  <c r="E362" i="1"/>
  <c r="C362" i="1"/>
  <c r="E264" i="1"/>
  <c r="C264" i="1"/>
  <c r="C166" i="1"/>
  <c r="C118" i="1"/>
  <c r="C177" i="1"/>
  <c r="E129" i="1"/>
  <c r="C129" i="1"/>
  <c r="E188" i="1"/>
  <c r="C188" i="1"/>
  <c r="E140" i="1"/>
  <c r="C140" i="1"/>
  <c r="C354" i="1"/>
  <c r="C505" i="1"/>
  <c r="C206" i="1"/>
  <c r="E485" i="1"/>
  <c r="C485" i="1"/>
  <c r="C457" i="1"/>
  <c r="E501" i="1"/>
  <c r="C501" i="1"/>
  <c r="C511" i="1"/>
  <c r="E444" i="1"/>
  <c r="E178" i="1"/>
  <c r="E28" i="1"/>
  <c r="E327" i="1"/>
  <c r="E348" i="1"/>
  <c r="J12" i="1"/>
  <c r="E507" i="1"/>
  <c r="E15" i="1"/>
  <c r="E266" i="1"/>
  <c r="E336" i="1"/>
  <c r="E274" i="1"/>
  <c r="E36" i="1"/>
  <c r="E462" i="1"/>
  <c r="E417" i="1"/>
  <c r="E508" i="1"/>
  <c r="E511" i="1"/>
  <c r="E344" i="1"/>
  <c r="E292" i="1"/>
  <c r="E254" i="1"/>
  <c r="E312" i="1"/>
  <c r="E80" i="1"/>
  <c r="E281" i="1"/>
  <c r="E245" i="1"/>
  <c r="E322" i="1"/>
  <c r="E476" i="1"/>
  <c r="E371" i="1"/>
  <c r="E364" i="1"/>
  <c r="E493" i="1"/>
  <c r="E345" i="1"/>
  <c r="E359" i="1"/>
  <c r="E174" i="1"/>
  <c r="E47" i="1"/>
  <c r="E421" i="1"/>
  <c r="E242" i="1"/>
  <c r="E400" i="1"/>
  <c r="E464" i="1"/>
  <c r="E56" i="1"/>
  <c r="E247" i="1"/>
  <c r="E148" i="1"/>
  <c r="E49" i="1"/>
  <c r="E490" i="1"/>
  <c r="E352" i="1"/>
  <c r="E185" i="1"/>
  <c r="E64" i="1"/>
  <c r="E107" i="1"/>
  <c r="E65" i="1"/>
  <c r="E495" i="1"/>
  <c r="E246" i="1"/>
  <c r="E443" i="1"/>
  <c r="E150" i="1"/>
  <c r="E199" i="1"/>
  <c r="E499" i="1"/>
  <c r="E424" i="1"/>
  <c r="E384" i="1"/>
  <c r="E223" i="1"/>
  <c r="E124" i="1"/>
  <c r="E279" i="1"/>
  <c r="E175" i="1"/>
  <c r="E53" i="1"/>
  <c r="E20" i="1"/>
  <c r="E89" i="1"/>
  <c r="E224" i="1"/>
  <c r="E357" i="1"/>
  <c r="E317" i="1"/>
  <c r="E459" i="1"/>
  <c r="E179" i="1"/>
  <c r="E257" i="1"/>
  <c r="E439" i="1"/>
  <c r="E319" i="1"/>
  <c r="E146" i="1"/>
  <c r="E382" i="1"/>
  <c r="E458" i="1"/>
  <c r="E26" i="1"/>
  <c r="E204" i="1"/>
  <c r="E284" i="1"/>
  <c r="E397" i="1"/>
  <c r="E287" i="1"/>
  <c r="E34" i="1"/>
  <c r="E71" i="1"/>
  <c r="E212" i="1"/>
  <c r="E196" i="1"/>
  <c r="E471" i="1"/>
  <c r="E240" i="1"/>
  <c r="E391" i="1"/>
  <c r="E216" i="1"/>
  <c r="E142" i="1"/>
  <c r="E201" i="1"/>
  <c r="E116" i="1"/>
  <c r="E191" i="1"/>
  <c r="E500" i="1"/>
  <c r="E275" i="1"/>
  <c r="E46" i="1"/>
  <c r="E115" i="1"/>
  <c r="E100" i="1"/>
  <c r="E222" i="1"/>
  <c r="E361" i="1"/>
  <c r="E91" i="1"/>
  <c r="E168" i="1"/>
  <c r="E440" i="1"/>
  <c r="E395" i="1"/>
  <c r="E190" i="1"/>
  <c r="E44" i="1"/>
  <c r="E19" i="1"/>
  <c r="E111" i="1"/>
  <c r="E109" i="1"/>
  <c r="E325" i="1"/>
  <c r="E197" i="1"/>
  <c r="E451" i="1"/>
  <c r="E163" i="1"/>
  <c r="E227" i="1"/>
  <c r="E186" i="1"/>
  <c r="E149" i="1"/>
  <c r="E112" i="1"/>
  <c r="E469" i="1"/>
  <c r="E358" i="1"/>
  <c r="E79" i="1"/>
  <c r="E88" i="1"/>
  <c r="E135" i="1"/>
  <c r="E461" i="1"/>
  <c r="E410" i="1"/>
  <c r="E349" i="1"/>
  <c r="E342" i="1"/>
  <c r="E480" i="1"/>
  <c r="E33" i="1"/>
  <c r="E176" i="1"/>
  <c r="E262" i="1"/>
  <c r="E83" i="1"/>
  <c r="E73" i="1"/>
  <c r="E101" i="1"/>
  <c r="E97" i="1"/>
  <c r="E68" i="1"/>
  <c r="E438" i="1"/>
  <c r="E346" i="1"/>
  <c r="E270" i="1"/>
  <c r="E228" i="1"/>
  <c r="E273" i="1"/>
  <c r="E448" i="1"/>
  <c r="E356" i="1"/>
  <c r="E296" i="1"/>
  <c r="E134" i="1"/>
  <c r="E299" i="1"/>
  <c r="E350" i="1"/>
  <c r="E427" i="1"/>
  <c r="E394" i="1"/>
  <c r="E43" i="1"/>
  <c r="E221" i="1"/>
  <c r="E123" i="1"/>
  <c r="E210" i="1"/>
  <c r="E306" i="1"/>
  <c r="E468" i="1"/>
  <c r="E84" i="1"/>
  <c r="E488" i="1"/>
  <c r="E463" i="1"/>
  <c r="E118" i="1"/>
  <c r="E445" i="1"/>
  <c r="E285" i="1"/>
  <c r="E433" i="1"/>
  <c r="E323" i="1"/>
  <c r="E355" i="1"/>
  <c r="E162" i="1"/>
  <c r="E387" i="1"/>
  <c r="E330" i="1"/>
  <c r="E332" i="1"/>
  <c r="E195" i="1"/>
  <c r="E470" i="1"/>
  <c r="E169" i="1"/>
  <c r="E483" i="1"/>
  <c r="E276" i="1"/>
  <c r="E75" i="1"/>
  <c r="E414" i="1"/>
  <c r="E272" i="1"/>
  <c r="E136" i="1"/>
  <c r="E170" i="1"/>
  <c r="E94" i="1"/>
  <c r="E237" i="1"/>
  <c r="E259" i="1"/>
  <c r="E57" i="1"/>
  <c r="E92" i="1"/>
  <c r="E207" i="1"/>
  <c r="E235" i="1"/>
  <c r="E446" i="1"/>
  <c r="E263" i="1"/>
  <c r="E25" i="1"/>
  <c r="E86" i="1"/>
  <c r="E13" i="1"/>
  <c r="E31" i="1"/>
  <c r="E473" i="1"/>
  <c r="E251" i="1"/>
  <c r="E255" i="1"/>
  <c r="E253" i="1"/>
  <c r="E467" i="1"/>
  <c r="E428" i="1"/>
  <c r="E122" i="1"/>
  <c r="E133" i="1"/>
  <c r="E502" i="1"/>
  <c r="E415" i="1"/>
  <c r="E430" i="1"/>
  <c r="E324" i="1"/>
  <c r="E320" i="1"/>
  <c r="E474" i="1"/>
  <c r="E166" i="1"/>
  <c r="E177" i="1"/>
  <c r="E354" i="1"/>
  <c r="E206" i="1"/>
  <c r="E457" i="1"/>
  <c r="E256" i="1"/>
  <c r="E143" i="1"/>
  <c r="E416" i="1"/>
  <c r="E313" i="1"/>
  <c r="E402" i="1"/>
  <c r="E219" i="1"/>
  <c r="E173" i="1"/>
  <c r="E184" i="1"/>
  <c r="E506" i="1"/>
  <c r="E381" i="1"/>
  <c r="E151" i="1"/>
  <c r="E268" i="1"/>
  <c r="E377" i="1"/>
  <c r="E441" i="1"/>
  <c r="E305" i="1"/>
  <c r="E316" i="1"/>
  <c r="E121" i="1"/>
  <c r="E261" i="1"/>
  <c r="E260" i="1"/>
  <c r="E429" i="1"/>
  <c r="E339" i="1"/>
  <c r="E372" i="1"/>
  <c r="E67" i="1"/>
  <c r="E208" i="1"/>
  <c r="E52" i="1"/>
  <c r="E24" i="1"/>
  <c r="E66" i="1"/>
  <c r="E158" i="1"/>
  <c r="E104" i="1"/>
  <c r="E17" i="1"/>
  <c r="E234" i="1"/>
  <c r="E211" i="1"/>
  <c r="E238" i="1"/>
  <c r="E29" i="1"/>
  <c r="E63" i="1"/>
  <c r="E61" i="1"/>
  <c r="E76" i="1"/>
  <c r="E69" i="1"/>
  <c r="E18" i="1"/>
  <c r="E422" i="1"/>
  <c r="E241" i="1"/>
  <c r="E447" i="1"/>
  <c r="E248" i="1"/>
  <c r="E505" i="1"/>
  <c r="E229" i="1"/>
  <c r="E280" i="1"/>
  <c r="E244" i="1"/>
  <c r="E294" i="1"/>
  <c r="E373" i="1"/>
  <c r="E301" i="1"/>
  <c r="E269" i="1"/>
  <c r="E40" i="1"/>
  <c r="E497" i="1"/>
  <c r="E231" i="1"/>
  <c r="E365" i="1"/>
  <c r="E297" i="1"/>
  <c r="E48" i="1"/>
  <c r="E41" i="1"/>
  <c r="E383" i="1"/>
  <c r="E249" i="1"/>
  <c r="E209" i="1"/>
  <c r="E152" i="1"/>
  <c r="E498" i="1"/>
  <c r="E406" i="1"/>
  <c r="E456" i="1"/>
  <c r="E450" i="1"/>
  <c r="E90" i="1"/>
  <c r="E205" i="1"/>
  <c r="E481" i="1"/>
  <c r="E453" i="1"/>
  <c r="E369" i="1"/>
  <c r="E465" i="1"/>
  <c r="E460" i="1"/>
  <c r="E419" i="1"/>
  <c r="E426" i="1"/>
  <c r="E436" i="1"/>
  <c r="E504" i="1"/>
  <c r="E375" i="1"/>
  <c r="E103" i="1"/>
  <c r="E161" i="1"/>
  <c r="E374" i="1"/>
  <c r="E300" i="1"/>
  <c r="E156" i="1"/>
  <c r="E70" i="1"/>
  <c r="E189" i="1"/>
  <c r="E225" i="1"/>
  <c r="E114" i="1"/>
  <c r="E117" i="1"/>
  <c r="E128" i="1"/>
  <c r="E351" i="1"/>
  <c r="E138" i="1"/>
  <c r="E113" i="1"/>
  <c r="E218" i="1"/>
  <c r="E74" i="1"/>
  <c r="E157" i="1"/>
  <c r="E432" i="1"/>
  <c r="E288" i="1"/>
  <c r="E214" i="1"/>
  <c r="E393" i="1"/>
  <c r="E155" i="1"/>
  <c r="E243" i="1"/>
  <c r="E477" i="1"/>
  <c r="E51" i="1"/>
  <c r="E77" i="1"/>
  <c r="E425" i="1"/>
  <c r="E145" i="1"/>
  <c r="E389" i="1"/>
  <c r="E420" i="1"/>
  <c r="E132" i="1"/>
  <c r="E311" i="1"/>
  <c r="E335" i="1"/>
  <c r="E455" i="1"/>
  <c r="E39" i="1"/>
  <c r="E42" i="1"/>
  <c r="E482" i="1"/>
  <c r="E338" i="1"/>
  <c r="E50" i="1"/>
  <c r="E277" i="1"/>
  <c r="E341" i="1"/>
  <c r="E220" i="1"/>
  <c r="E380" i="1"/>
  <c r="E442" i="1"/>
  <c r="E466" i="1"/>
  <c r="E475" i="1"/>
  <c r="E334" i="1"/>
  <c r="E431" i="1"/>
  <c r="E236" i="1"/>
  <c r="E167" i="1"/>
  <c r="E333" i="1"/>
  <c r="E165" i="1"/>
  <c r="E16" i="1"/>
  <c r="E171" i="1"/>
  <c r="E509" i="1"/>
  <c r="E484" i="1"/>
  <c r="E329" i="1"/>
  <c r="E409" i="1"/>
  <c r="E295" i="1"/>
  <c r="E293" i="1"/>
  <c r="E108" i="1"/>
  <c r="E202" i="1"/>
  <c r="E35" i="1"/>
  <c r="E479" i="1"/>
  <c r="B12" i="1"/>
  <c r="C12" i="1" s="1"/>
  <c r="K12" i="1"/>
  <c r="D12" i="1" l="1"/>
  <c r="H12" i="1" s="1"/>
  <c r="E12" i="1" l="1"/>
  <c r="F13" i="1" s="1"/>
  <c r="F14" i="1" s="1"/>
  <c r="J13" i="1" l="1"/>
  <c r="G13" i="1"/>
  <c r="K13" i="1" s="1"/>
  <c r="G14" i="1"/>
  <c r="F15" i="1"/>
  <c r="H13" i="1"/>
  <c r="G15" i="1" l="1"/>
  <c r="F16" i="1"/>
  <c r="J14" i="1"/>
  <c r="K14" i="1"/>
  <c r="F17" i="1" l="1"/>
  <c r="G16" i="1"/>
  <c r="H14" i="1"/>
  <c r="J15" i="1" s="1"/>
  <c r="F18" i="1" l="1"/>
  <c r="G17" i="1"/>
  <c r="K15" i="1"/>
  <c r="G18" i="1" l="1"/>
  <c r="F19" i="1"/>
  <c r="H15" i="1"/>
  <c r="K16" i="1" s="1"/>
  <c r="F20" i="1" l="1"/>
  <c r="G19" i="1"/>
  <c r="H16" i="1"/>
  <c r="K17" i="1" s="1"/>
  <c r="J16" i="1"/>
  <c r="F21" i="1" l="1"/>
  <c r="G20" i="1"/>
  <c r="J17" i="1"/>
  <c r="H17" i="1"/>
  <c r="K18" i="1" s="1"/>
  <c r="G21" i="1" l="1"/>
  <c r="F22" i="1"/>
  <c r="J18" i="1"/>
  <c r="H18" i="1"/>
  <c r="K19" i="1" s="1"/>
  <c r="G22" i="1" l="1"/>
  <c r="F23" i="1"/>
  <c r="J19" i="1"/>
  <c r="H19" i="1"/>
  <c r="K20" i="1" s="1"/>
  <c r="G23" i="1" l="1"/>
  <c r="F24" i="1"/>
  <c r="J20" i="1"/>
  <c r="H20" i="1"/>
  <c r="G24" i="1" l="1"/>
  <c r="F25" i="1"/>
  <c r="K21" i="1"/>
  <c r="J21" i="1"/>
  <c r="F26" i="1" l="1"/>
  <c r="G25" i="1"/>
  <c r="H21" i="1"/>
  <c r="G26" i="1" l="1"/>
  <c r="F27" i="1"/>
  <c r="K22" i="1"/>
  <c r="J22" i="1"/>
  <c r="F28" i="1" l="1"/>
  <c r="G27" i="1"/>
  <c r="H22" i="1"/>
  <c r="K23" i="1" s="1"/>
  <c r="F29" i="1" l="1"/>
  <c r="G28" i="1"/>
  <c r="J23" i="1"/>
  <c r="H23" i="1"/>
  <c r="F30" i="1" l="1"/>
  <c r="G29" i="1"/>
  <c r="J24" i="1"/>
  <c r="K24" i="1"/>
  <c r="F31" i="1" l="1"/>
  <c r="G30" i="1"/>
  <c r="H24" i="1"/>
  <c r="F32" i="1" l="1"/>
  <c r="G31" i="1"/>
  <c r="K25" i="1"/>
  <c r="J25" i="1"/>
  <c r="G32" i="1" l="1"/>
  <c r="F33" i="1"/>
  <c r="H25" i="1"/>
  <c r="K26" i="1" s="1"/>
  <c r="G33" i="1" l="1"/>
  <c r="F34" i="1"/>
  <c r="J26" i="1"/>
  <c r="H26" i="1"/>
  <c r="J27" i="1" s="1"/>
  <c r="F35" i="1" l="1"/>
  <c r="G34" i="1"/>
  <c r="K27" i="1"/>
  <c r="F36" i="1" l="1"/>
  <c r="G35" i="1"/>
  <c r="H27" i="1"/>
  <c r="K28" i="1" s="1"/>
  <c r="F37" i="1" l="1"/>
  <c r="G36" i="1"/>
  <c r="J28" i="1"/>
  <c r="H28" i="1"/>
  <c r="K29" i="1" s="1"/>
  <c r="G37" i="1" l="1"/>
  <c r="F38" i="1"/>
  <c r="J29" i="1"/>
  <c r="H29" i="1"/>
  <c r="G38" i="1" l="1"/>
  <c r="F39" i="1"/>
  <c r="J30" i="1"/>
  <c r="K30" i="1"/>
  <c r="G39" i="1" l="1"/>
  <c r="F40" i="1"/>
  <c r="H30" i="1"/>
  <c r="G40" i="1" l="1"/>
  <c r="F41" i="1"/>
  <c r="K31" i="1"/>
  <c r="J31" i="1"/>
  <c r="G41" i="1" l="1"/>
  <c r="F42" i="1"/>
  <c r="H31" i="1"/>
  <c r="G42" i="1" l="1"/>
  <c r="F43" i="1"/>
  <c r="K32" i="1"/>
  <c r="J32" i="1"/>
  <c r="G43" i="1" l="1"/>
  <c r="F44" i="1"/>
  <c r="H32" i="1"/>
  <c r="F45" i="1" l="1"/>
  <c r="G44" i="1"/>
  <c r="K33" i="1"/>
  <c r="J33" i="1"/>
  <c r="G45" i="1" l="1"/>
  <c r="F46" i="1"/>
  <c r="H33" i="1"/>
  <c r="G46" i="1" l="1"/>
  <c r="F47" i="1"/>
  <c r="K34" i="1"/>
  <c r="J34" i="1"/>
  <c r="G47" i="1" l="1"/>
  <c r="F48" i="1"/>
  <c r="H34" i="1"/>
  <c r="F49" i="1" l="1"/>
  <c r="G48" i="1"/>
  <c r="K35" i="1"/>
  <c r="J35" i="1"/>
  <c r="F50" i="1" l="1"/>
  <c r="G49" i="1"/>
  <c r="H35" i="1"/>
  <c r="F51" i="1" l="1"/>
  <c r="G50" i="1"/>
  <c r="K36" i="1"/>
  <c r="J36" i="1"/>
  <c r="F52" i="1" l="1"/>
  <c r="G51" i="1"/>
  <c r="H36" i="1"/>
  <c r="K37" i="1" s="1"/>
  <c r="G52" i="1" l="1"/>
  <c r="F53" i="1"/>
  <c r="J37" i="1"/>
  <c r="H37" i="1"/>
  <c r="G53" i="1" l="1"/>
  <c r="F54" i="1"/>
  <c r="K38" i="1"/>
  <c r="J38" i="1"/>
  <c r="F55" i="1" l="1"/>
  <c r="G54" i="1"/>
  <c r="H38" i="1"/>
  <c r="K39" i="1" s="1"/>
  <c r="G55" i="1" l="1"/>
  <c r="F56" i="1"/>
  <c r="J39" i="1"/>
  <c r="H39" i="1"/>
  <c r="G56" i="1" l="1"/>
  <c r="F57" i="1"/>
  <c r="K40" i="1"/>
  <c r="J40" i="1"/>
  <c r="G57" i="1" l="1"/>
  <c r="F58" i="1"/>
  <c r="H40" i="1"/>
  <c r="F59" i="1" l="1"/>
  <c r="G58" i="1"/>
  <c r="K41" i="1"/>
  <c r="J41" i="1"/>
  <c r="F60" i="1" l="1"/>
  <c r="G59" i="1"/>
  <c r="H41" i="1"/>
  <c r="F61" i="1" l="1"/>
  <c r="G60" i="1"/>
  <c r="K42" i="1"/>
  <c r="J42" i="1"/>
  <c r="G61" i="1" l="1"/>
  <c r="F62" i="1"/>
  <c r="H42" i="1"/>
  <c r="F63" i="1" l="1"/>
  <c r="G62" i="1"/>
  <c r="K43" i="1"/>
  <c r="J43" i="1"/>
  <c r="F64" i="1" l="1"/>
  <c r="G63" i="1"/>
  <c r="H43" i="1"/>
  <c r="G64" i="1" l="1"/>
  <c r="F65" i="1"/>
  <c r="K44" i="1"/>
  <c r="J44" i="1"/>
  <c r="F66" i="1" l="1"/>
  <c r="G65" i="1"/>
  <c r="H44" i="1"/>
  <c r="K45" i="1" s="1"/>
  <c r="F67" i="1" l="1"/>
  <c r="G66" i="1"/>
  <c r="J45" i="1"/>
  <c r="H45" i="1"/>
  <c r="F68" i="1" l="1"/>
  <c r="G67" i="1"/>
  <c r="K46" i="1"/>
  <c r="J46" i="1"/>
  <c r="G68" i="1" l="1"/>
  <c r="F69" i="1"/>
  <c r="H46" i="1"/>
  <c r="K47" i="1" s="1"/>
  <c r="G69" i="1" l="1"/>
  <c r="F70" i="1"/>
  <c r="J47" i="1"/>
  <c r="H47" i="1"/>
  <c r="G70" i="1" l="1"/>
  <c r="F71" i="1"/>
  <c r="K48" i="1"/>
  <c r="J48" i="1"/>
  <c r="G71" i="1" l="1"/>
  <c r="F72" i="1"/>
  <c r="H48" i="1"/>
  <c r="G72" i="1" l="1"/>
  <c r="F73" i="1"/>
  <c r="K49" i="1"/>
  <c r="J49" i="1"/>
  <c r="G73" i="1" l="1"/>
  <c r="F74" i="1"/>
  <c r="H49" i="1"/>
  <c r="G74" i="1" l="1"/>
  <c r="F75" i="1"/>
  <c r="K50" i="1"/>
  <c r="J50" i="1"/>
  <c r="G75" i="1" l="1"/>
  <c r="F76" i="1"/>
  <c r="H50" i="1"/>
  <c r="K51" i="1" s="1"/>
  <c r="G76" i="1" l="1"/>
  <c r="F77" i="1"/>
  <c r="J51" i="1"/>
  <c r="H51" i="1"/>
  <c r="G77" i="1" l="1"/>
  <c r="F78" i="1"/>
  <c r="K52" i="1"/>
  <c r="J52" i="1"/>
  <c r="F79" i="1" l="1"/>
  <c r="G78" i="1"/>
  <c r="H52" i="1"/>
  <c r="K53" i="1" s="1"/>
  <c r="G79" i="1" l="1"/>
  <c r="F80" i="1"/>
  <c r="J53" i="1"/>
  <c r="H53" i="1"/>
  <c r="K54" i="1" s="1"/>
  <c r="F81" i="1" l="1"/>
  <c r="G80" i="1"/>
  <c r="J54" i="1"/>
  <c r="H54" i="1"/>
  <c r="F82" i="1" l="1"/>
  <c r="G81" i="1"/>
  <c r="K55" i="1"/>
  <c r="J55" i="1"/>
  <c r="G82" i="1" l="1"/>
  <c r="F83" i="1"/>
  <c r="H55" i="1"/>
  <c r="G83" i="1" l="1"/>
  <c r="F84" i="1"/>
  <c r="J56" i="1"/>
  <c r="K56" i="1"/>
  <c r="G84" i="1" l="1"/>
  <c r="F85" i="1"/>
  <c r="H56" i="1"/>
  <c r="G85" i="1" l="1"/>
  <c r="F86" i="1"/>
  <c r="K57" i="1"/>
  <c r="J57" i="1"/>
  <c r="G86" i="1" l="1"/>
  <c r="F87" i="1"/>
  <c r="H57" i="1"/>
  <c r="F88" i="1" l="1"/>
  <c r="G87" i="1"/>
  <c r="K58" i="1"/>
  <c r="J58" i="1"/>
  <c r="F89" i="1" l="1"/>
  <c r="G88" i="1"/>
  <c r="H58" i="1"/>
  <c r="F90" i="1" l="1"/>
  <c r="G89" i="1"/>
  <c r="K59" i="1"/>
  <c r="J59" i="1"/>
  <c r="F91" i="1" l="1"/>
  <c r="G90" i="1"/>
  <c r="H59" i="1"/>
  <c r="G91" i="1" l="1"/>
  <c r="F92" i="1"/>
  <c r="K60" i="1"/>
  <c r="J60" i="1"/>
  <c r="F93" i="1" l="1"/>
  <c r="G92" i="1"/>
  <c r="H60" i="1"/>
  <c r="G93" i="1" l="1"/>
  <c r="F94" i="1"/>
  <c r="K61" i="1"/>
  <c r="J61" i="1"/>
  <c r="F95" i="1" l="1"/>
  <c r="G94" i="1"/>
  <c r="H61" i="1"/>
  <c r="F96" i="1" l="1"/>
  <c r="G95" i="1"/>
  <c r="K62" i="1"/>
  <c r="J62" i="1"/>
  <c r="F97" i="1" l="1"/>
  <c r="G96" i="1"/>
  <c r="H62" i="1"/>
  <c r="G97" i="1" l="1"/>
  <c r="F98" i="1"/>
  <c r="K63" i="1"/>
  <c r="J63" i="1"/>
  <c r="F99" i="1" l="1"/>
  <c r="G98" i="1"/>
  <c r="H63" i="1"/>
  <c r="F100" i="1" l="1"/>
  <c r="G99" i="1"/>
  <c r="K64" i="1"/>
  <c r="J64" i="1"/>
  <c r="F101" i="1" l="1"/>
  <c r="G100" i="1"/>
  <c r="H64" i="1"/>
  <c r="G101" i="1" l="1"/>
  <c r="F102" i="1"/>
  <c r="K65" i="1"/>
  <c r="J65" i="1"/>
  <c r="F103" i="1" l="1"/>
  <c r="G102" i="1"/>
  <c r="H65" i="1"/>
  <c r="G103" i="1" l="1"/>
  <c r="F104" i="1"/>
  <c r="K66" i="1"/>
  <c r="J66" i="1"/>
  <c r="G104" i="1" l="1"/>
  <c r="F105" i="1"/>
  <c r="H66" i="1"/>
  <c r="F106" i="1" l="1"/>
  <c r="G105" i="1"/>
  <c r="K67" i="1"/>
  <c r="J67" i="1"/>
  <c r="F107" i="1" l="1"/>
  <c r="G106" i="1"/>
  <c r="H67" i="1"/>
  <c r="F108" i="1" l="1"/>
  <c r="G107" i="1"/>
  <c r="K68" i="1"/>
  <c r="J68" i="1"/>
  <c r="F109" i="1" l="1"/>
  <c r="G108" i="1"/>
  <c r="H68" i="1"/>
  <c r="G109" i="1" l="1"/>
  <c r="F110" i="1"/>
  <c r="K69" i="1"/>
  <c r="J69" i="1"/>
  <c r="F111" i="1" l="1"/>
  <c r="G110" i="1"/>
  <c r="H69" i="1"/>
  <c r="F112" i="1" l="1"/>
  <c r="G111" i="1"/>
  <c r="K70" i="1"/>
  <c r="J70" i="1"/>
  <c r="G112" i="1" l="1"/>
  <c r="F113" i="1"/>
  <c r="H70" i="1"/>
  <c r="G113" i="1" l="1"/>
  <c r="F114" i="1"/>
  <c r="K71" i="1"/>
  <c r="J71" i="1"/>
  <c r="G114" i="1" l="1"/>
  <c r="F115" i="1"/>
  <c r="H71" i="1"/>
  <c r="F116" i="1" l="1"/>
  <c r="G115" i="1"/>
  <c r="K72" i="1"/>
  <c r="J72" i="1"/>
  <c r="G116" i="1" l="1"/>
  <c r="F117" i="1"/>
  <c r="H72" i="1"/>
  <c r="G117" i="1" l="1"/>
  <c r="F118" i="1"/>
  <c r="J73" i="1"/>
  <c r="K73" i="1"/>
  <c r="F119" i="1" l="1"/>
  <c r="G118" i="1"/>
  <c r="H73" i="1"/>
  <c r="F120" i="1" l="1"/>
  <c r="G119" i="1"/>
  <c r="K74" i="1"/>
  <c r="J74" i="1"/>
  <c r="G120" i="1" l="1"/>
  <c r="F121" i="1"/>
  <c r="H74" i="1"/>
  <c r="F122" i="1" l="1"/>
  <c r="G121" i="1"/>
  <c r="K75" i="1"/>
  <c r="J75" i="1"/>
  <c r="G122" i="1" l="1"/>
  <c r="F123" i="1"/>
  <c r="H75" i="1"/>
  <c r="F124" i="1" l="1"/>
  <c r="G123" i="1"/>
  <c r="K76" i="1"/>
  <c r="J76" i="1"/>
  <c r="F125" i="1" l="1"/>
  <c r="G124" i="1"/>
  <c r="H76" i="1"/>
  <c r="F126" i="1" l="1"/>
  <c r="G125" i="1"/>
  <c r="K77" i="1"/>
  <c r="J77" i="1"/>
  <c r="F127" i="1" l="1"/>
  <c r="G126" i="1"/>
  <c r="H77" i="1"/>
  <c r="G127" i="1" l="1"/>
  <c r="F128" i="1"/>
  <c r="K78" i="1"/>
  <c r="J78" i="1"/>
  <c r="F129" i="1" l="1"/>
  <c r="G128" i="1"/>
  <c r="H78" i="1"/>
  <c r="G129" i="1" l="1"/>
  <c r="F130" i="1"/>
  <c r="K79" i="1"/>
  <c r="J79" i="1"/>
  <c r="G130" i="1" l="1"/>
  <c r="F131" i="1"/>
  <c r="H79" i="1"/>
  <c r="F132" i="1" l="1"/>
  <c r="G131" i="1"/>
  <c r="K80" i="1"/>
  <c r="J80" i="1"/>
  <c r="F133" i="1" l="1"/>
  <c r="G132" i="1"/>
  <c r="H80" i="1"/>
  <c r="F134" i="1" l="1"/>
  <c r="G133" i="1"/>
  <c r="K81" i="1"/>
  <c r="J81" i="1"/>
  <c r="F135" i="1" l="1"/>
  <c r="G134" i="1"/>
  <c r="H81" i="1"/>
  <c r="F136" i="1" l="1"/>
  <c r="G135" i="1"/>
  <c r="K82" i="1"/>
  <c r="J82" i="1"/>
  <c r="G136" i="1" l="1"/>
  <c r="F137" i="1"/>
  <c r="H82" i="1"/>
  <c r="F138" i="1" l="1"/>
  <c r="G137" i="1"/>
  <c r="J83" i="1"/>
  <c r="K83" i="1"/>
  <c r="G138" i="1" l="1"/>
  <c r="F139" i="1"/>
  <c r="H83" i="1"/>
  <c r="F140" i="1" l="1"/>
  <c r="G139" i="1"/>
  <c r="K84" i="1"/>
  <c r="J84" i="1"/>
  <c r="G140" i="1" l="1"/>
  <c r="F141" i="1"/>
  <c r="H84" i="1"/>
  <c r="F142" i="1" l="1"/>
  <c r="G141" i="1"/>
  <c r="J85" i="1"/>
  <c r="K85" i="1"/>
  <c r="F143" i="1" l="1"/>
  <c r="G142" i="1"/>
  <c r="H85" i="1"/>
  <c r="G143" i="1" l="1"/>
  <c r="F144" i="1"/>
  <c r="K86" i="1"/>
  <c r="J86" i="1"/>
  <c r="G144" i="1" l="1"/>
  <c r="F145" i="1"/>
  <c r="H86" i="1"/>
  <c r="G145" i="1" l="1"/>
  <c r="F146" i="1"/>
  <c r="K87" i="1"/>
  <c r="J87" i="1"/>
  <c r="F147" i="1" l="1"/>
  <c r="G146" i="1"/>
  <c r="H87" i="1"/>
  <c r="G147" i="1" l="1"/>
  <c r="F148" i="1"/>
  <c r="K88" i="1"/>
  <c r="J88" i="1"/>
  <c r="F149" i="1" l="1"/>
  <c r="G148" i="1"/>
  <c r="H88" i="1"/>
  <c r="F150" i="1" l="1"/>
  <c r="G149" i="1"/>
  <c r="J89" i="1"/>
  <c r="K89" i="1"/>
  <c r="F151" i="1" l="1"/>
  <c r="G150" i="1"/>
  <c r="H89" i="1"/>
  <c r="G151" i="1" l="1"/>
  <c r="F152" i="1"/>
  <c r="K90" i="1"/>
  <c r="J90" i="1"/>
  <c r="F153" i="1" l="1"/>
  <c r="G152" i="1"/>
  <c r="H90" i="1"/>
  <c r="F154" i="1" l="1"/>
  <c r="G153" i="1"/>
  <c r="K91" i="1"/>
  <c r="J91" i="1"/>
  <c r="G154" i="1" l="1"/>
  <c r="F155" i="1"/>
  <c r="H91" i="1"/>
  <c r="F156" i="1" l="1"/>
  <c r="G155" i="1"/>
  <c r="J92" i="1"/>
  <c r="K92" i="1"/>
  <c r="F157" i="1" l="1"/>
  <c r="G156" i="1"/>
  <c r="H92" i="1"/>
  <c r="F158" i="1" l="1"/>
  <c r="G157" i="1"/>
  <c r="K93" i="1"/>
  <c r="J93" i="1"/>
  <c r="F159" i="1" l="1"/>
  <c r="G158" i="1"/>
  <c r="H93" i="1"/>
  <c r="G159" i="1" l="1"/>
  <c r="F160" i="1"/>
  <c r="K94" i="1"/>
  <c r="J94" i="1"/>
  <c r="G160" i="1" l="1"/>
  <c r="F161" i="1"/>
  <c r="H94" i="1"/>
  <c r="G161" i="1" l="1"/>
  <c r="F162" i="1"/>
  <c r="K95" i="1"/>
  <c r="J95" i="1"/>
  <c r="G162" i="1" l="1"/>
  <c r="F163" i="1"/>
  <c r="H95" i="1"/>
  <c r="F164" i="1" l="1"/>
  <c r="G163" i="1"/>
  <c r="K96" i="1"/>
  <c r="J96" i="1"/>
  <c r="G164" i="1" l="1"/>
  <c r="F165" i="1"/>
  <c r="H96" i="1"/>
  <c r="G165" i="1" l="1"/>
  <c r="F166" i="1"/>
  <c r="J97" i="1"/>
  <c r="K97" i="1"/>
  <c r="F167" i="1" l="1"/>
  <c r="G166" i="1"/>
  <c r="H97" i="1"/>
  <c r="F168" i="1" l="1"/>
  <c r="G167" i="1"/>
  <c r="K98" i="1"/>
  <c r="J98" i="1"/>
  <c r="F169" i="1" l="1"/>
  <c r="G168" i="1"/>
  <c r="H98" i="1"/>
  <c r="G169" i="1" l="1"/>
  <c r="F170" i="1"/>
  <c r="K99" i="1"/>
  <c r="J99" i="1"/>
  <c r="F171" i="1" l="1"/>
  <c r="G170" i="1"/>
  <c r="H99" i="1"/>
  <c r="G171" i="1" l="1"/>
  <c r="F172" i="1"/>
  <c r="K100" i="1"/>
  <c r="J100" i="1"/>
  <c r="G172" i="1" l="1"/>
  <c r="F173" i="1"/>
  <c r="H100" i="1"/>
  <c r="F174" i="1" l="1"/>
  <c r="G173" i="1"/>
  <c r="K101" i="1"/>
  <c r="J101" i="1"/>
  <c r="F175" i="1" l="1"/>
  <c r="G174" i="1"/>
  <c r="H101" i="1"/>
  <c r="F176" i="1" l="1"/>
  <c r="G175" i="1"/>
  <c r="K102" i="1"/>
  <c r="J102" i="1"/>
  <c r="F177" i="1" l="1"/>
  <c r="G176" i="1"/>
  <c r="H102" i="1"/>
  <c r="F178" i="1" l="1"/>
  <c r="G177" i="1"/>
  <c r="K103" i="1"/>
  <c r="J103" i="1"/>
  <c r="F179" i="1" l="1"/>
  <c r="G178" i="1"/>
  <c r="H103" i="1"/>
  <c r="F180" i="1" l="1"/>
  <c r="G179" i="1"/>
  <c r="K104" i="1"/>
  <c r="J104" i="1"/>
  <c r="F181" i="1" l="1"/>
  <c r="G180" i="1"/>
  <c r="H104" i="1"/>
  <c r="F182" i="1" l="1"/>
  <c r="G181" i="1"/>
  <c r="J105" i="1"/>
  <c r="K105" i="1"/>
  <c r="F183" i="1" l="1"/>
  <c r="G182" i="1"/>
  <c r="H105" i="1"/>
  <c r="G183" i="1" l="1"/>
  <c r="F184" i="1"/>
  <c r="J106" i="1"/>
  <c r="K106" i="1"/>
  <c r="F185" i="1" l="1"/>
  <c r="G184" i="1"/>
  <c r="H106" i="1"/>
  <c r="F186" i="1" l="1"/>
  <c r="G185" i="1"/>
  <c r="K107" i="1"/>
  <c r="J107" i="1"/>
  <c r="F187" i="1" l="1"/>
  <c r="G186" i="1"/>
  <c r="H107" i="1"/>
  <c r="G187" i="1" l="1"/>
  <c r="F188" i="1"/>
  <c r="K108" i="1"/>
  <c r="J108" i="1"/>
  <c r="F189" i="1" l="1"/>
  <c r="G188" i="1"/>
  <c r="H108" i="1"/>
  <c r="F190" i="1" l="1"/>
  <c r="G189" i="1"/>
  <c r="K109" i="1"/>
  <c r="J109" i="1"/>
  <c r="G190" i="1" l="1"/>
  <c r="F191" i="1"/>
  <c r="H109" i="1"/>
  <c r="F192" i="1" l="1"/>
  <c r="G191" i="1"/>
  <c r="K110" i="1"/>
  <c r="J110" i="1"/>
  <c r="F193" i="1" l="1"/>
  <c r="G192" i="1"/>
  <c r="H110" i="1"/>
  <c r="G193" i="1" l="1"/>
  <c r="F194" i="1"/>
  <c r="J111" i="1"/>
  <c r="K111" i="1"/>
  <c r="F195" i="1" l="1"/>
  <c r="G194" i="1"/>
  <c r="H111" i="1"/>
  <c r="F196" i="1" l="1"/>
  <c r="G195" i="1"/>
  <c r="K112" i="1"/>
  <c r="J112" i="1"/>
  <c r="F197" i="1" l="1"/>
  <c r="G196" i="1"/>
  <c r="H112" i="1"/>
  <c r="F198" i="1" l="1"/>
  <c r="G197" i="1"/>
  <c r="K113" i="1"/>
  <c r="J113" i="1"/>
  <c r="F199" i="1" l="1"/>
  <c r="G198" i="1"/>
  <c r="H113" i="1"/>
  <c r="F200" i="1" l="1"/>
  <c r="G199" i="1"/>
  <c r="K114" i="1"/>
  <c r="J114" i="1"/>
  <c r="F201" i="1" l="1"/>
  <c r="G200" i="1"/>
  <c r="H114" i="1"/>
  <c r="G201" i="1" l="1"/>
  <c r="F202" i="1"/>
  <c r="K115" i="1"/>
  <c r="J115" i="1"/>
  <c r="G202" i="1" l="1"/>
  <c r="F203" i="1"/>
  <c r="H115" i="1"/>
  <c r="G203" i="1" l="1"/>
  <c r="F204" i="1"/>
  <c r="J116" i="1"/>
  <c r="K116" i="1"/>
  <c r="G204" i="1" l="1"/>
  <c r="F205" i="1"/>
  <c r="H116" i="1"/>
  <c r="F206" i="1" l="1"/>
  <c r="G205" i="1"/>
  <c r="J117" i="1"/>
  <c r="K117" i="1"/>
  <c r="G206" i="1" l="1"/>
  <c r="F207" i="1"/>
  <c r="H117" i="1"/>
  <c r="F208" i="1" l="1"/>
  <c r="G207" i="1"/>
  <c r="J118" i="1"/>
  <c r="K118" i="1"/>
  <c r="F209" i="1" l="1"/>
  <c r="G208" i="1"/>
  <c r="H118" i="1"/>
  <c r="F210" i="1" l="1"/>
  <c r="G209" i="1"/>
  <c r="J119" i="1"/>
  <c r="K119" i="1"/>
  <c r="F211" i="1" l="1"/>
  <c r="G210" i="1"/>
  <c r="H119" i="1"/>
  <c r="G211" i="1" l="1"/>
  <c r="F212" i="1"/>
  <c r="K120" i="1"/>
  <c r="J120" i="1"/>
  <c r="G212" i="1" l="1"/>
  <c r="F213" i="1"/>
  <c r="H120" i="1"/>
  <c r="F214" i="1" l="1"/>
  <c r="G213" i="1"/>
  <c r="K121" i="1"/>
  <c r="J121" i="1"/>
  <c r="G214" i="1" l="1"/>
  <c r="F215" i="1"/>
  <c r="H121" i="1"/>
  <c r="G215" i="1" l="1"/>
  <c r="F216" i="1"/>
  <c r="K122" i="1"/>
  <c r="J122" i="1"/>
  <c r="F217" i="1" l="1"/>
  <c r="G216" i="1"/>
  <c r="H122" i="1"/>
  <c r="G217" i="1" l="1"/>
  <c r="F218" i="1"/>
  <c r="K123" i="1"/>
  <c r="J123" i="1"/>
  <c r="F219" i="1" l="1"/>
  <c r="G218" i="1"/>
  <c r="H123" i="1"/>
  <c r="F220" i="1" l="1"/>
  <c r="G219" i="1"/>
  <c r="K124" i="1"/>
  <c r="J124" i="1"/>
  <c r="F221" i="1" l="1"/>
  <c r="G220" i="1"/>
  <c r="H124" i="1"/>
  <c r="F222" i="1" l="1"/>
  <c r="G221" i="1"/>
  <c r="K125" i="1"/>
  <c r="J125" i="1"/>
  <c r="F223" i="1" l="1"/>
  <c r="G222" i="1"/>
  <c r="H125" i="1"/>
  <c r="G223" i="1" l="1"/>
  <c r="F224" i="1"/>
  <c r="K126" i="1"/>
  <c r="J126" i="1"/>
  <c r="F225" i="1" l="1"/>
  <c r="G224" i="1"/>
  <c r="H126" i="1"/>
  <c r="F226" i="1" l="1"/>
  <c r="G225" i="1"/>
  <c r="K127" i="1"/>
  <c r="J127" i="1"/>
  <c r="G226" i="1" l="1"/>
  <c r="F227" i="1"/>
  <c r="H127" i="1"/>
  <c r="G227" i="1" l="1"/>
  <c r="F228" i="1"/>
  <c r="K128" i="1"/>
  <c r="J128" i="1"/>
  <c r="F229" i="1" l="1"/>
  <c r="G228" i="1"/>
  <c r="H128" i="1"/>
  <c r="F230" i="1" l="1"/>
  <c r="G229" i="1"/>
  <c r="K129" i="1"/>
  <c r="J129" i="1"/>
  <c r="G230" i="1" l="1"/>
  <c r="F231" i="1"/>
  <c r="H129" i="1"/>
  <c r="F232" i="1" l="1"/>
  <c r="G231" i="1"/>
  <c r="K130" i="1"/>
  <c r="J130" i="1"/>
  <c r="F233" i="1" l="1"/>
  <c r="G232" i="1"/>
  <c r="H130" i="1"/>
  <c r="G233" i="1" l="1"/>
  <c r="F234" i="1"/>
  <c r="K131" i="1"/>
  <c r="J131" i="1"/>
  <c r="F235" i="1" l="1"/>
  <c r="G234" i="1"/>
  <c r="H131" i="1"/>
  <c r="G235" i="1" l="1"/>
  <c r="F236" i="1"/>
  <c r="J132" i="1"/>
  <c r="K132" i="1"/>
  <c r="G236" i="1" l="1"/>
  <c r="F237" i="1"/>
  <c r="H132" i="1"/>
  <c r="F238" i="1" l="1"/>
  <c r="G237" i="1"/>
  <c r="K133" i="1"/>
  <c r="J133" i="1"/>
  <c r="G238" i="1" l="1"/>
  <c r="F239" i="1"/>
  <c r="H133" i="1"/>
  <c r="G239" i="1" l="1"/>
  <c r="F240" i="1"/>
  <c r="K134" i="1"/>
  <c r="J134" i="1"/>
  <c r="F241" i="1" l="1"/>
  <c r="G240" i="1"/>
  <c r="H134" i="1"/>
  <c r="G241" i="1" l="1"/>
  <c r="F242" i="1"/>
  <c r="K135" i="1"/>
  <c r="J135" i="1"/>
  <c r="G242" i="1" l="1"/>
  <c r="F243" i="1"/>
  <c r="H135" i="1"/>
  <c r="F244" i="1" l="1"/>
  <c r="G243" i="1"/>
  <c r="K136" i="1"/>
  <c r="J136" i="1"/>
  <c r="F245" i="1" l="1"/>
  <c r="G244" i="1"/>
  <c r="H136" i="1"/>
  <c r="G245" i="1" l="1"/>
  <c r="F246" i="1"/>
  <c r="K137" i="1"/>
  <c r="J137" i="1"/>
  <c r="F247" i="1" l="1"/>
  <c r="G246" i="1"/>
  <c r="H137" i="1"/>
  <c r="G247" i="1" l="1"/>
  <c r="F248" i="1"/>
  <c r="K138" i="1"/>
  <c r="J138" i="1"/>
  <c r="F249" i="1" l="1"/>
  <c r="G248" i="1"/>
  <c r="H138" i="1"/>
  <c r="F250" i="1" l="1"/>
  <c r="G249" i="1"/>
  <c r="J139" i="1"/>
  <c r="K139" i="1"/>
  <c r="F251" i="1" l="1"/>
  <c r="G250" i="1"/>
  <c r="H139" i="1"/>
  <c r="G251" i="1" l="1"/>
  <c r="F252" i="1"/>
  <c r="K140" i="1"/>
  <c r="J140" i="1"/>
  <c r="F253" i="1" l="1"/>
  <c r="G252" i="1"/>
  <c r="H140" i="1"/>
  <c r="F254" i="1" l="1"/>
  <c r="G253" i="1"/>
  <c r="K141" i="1"/>
  <c r="J141" i="1"/>
  <c r="G254" i="1" l="1"/>
  <c r="F255" i="1"/>
  <c r="H141" i="1"/>
  <c r="G255" i="1" l="1"/>
  <c r="F256" i="1"/>
  <c r="K142" i="1"/>
  <c r="J142" i="1"/>
  <c r="F257" i="1" l="1"/>
  <c r="G256" i="1"/>
  <c r="H142" i="1"/>
  <c r="F258" i="1" l="1"/>
  <c r="G257" i="1"/>
  <c r="J143" i="1"/>
  <c r="K143" i="1"/>
  <c r="F259" i="1" l="1"/>
  <c r="G258" i="1"/>
  <c r="H143" i="1"/>
  <c r="G259" i="1" l="1"/>
  <c r="F260" i="1"/>
  <c r="J144" i="1"/>
  <c r="K144" i="1"/>
  <c r="F261" i="1" l="1"/>
  <c r="G260" i="1"/>
  <c r="H144" i="1"/>
  <c r="G261" i="1" l="1"/>
  <c r="F262" i="1"/>
  <c r="J145" i="1"/>
  <c r="K145" i="1"/>
  <c r="G262" i="1" l="1"/>
  <c r="F263" i="1"/>
  <c r="H145" i="1"/>
  <c r="G263" i="1" l="1"/>
  <c r="F264" i="1"/>
  <c r="K146" i="1"/>
  <c r="J146" i="1"/>
  <c r="F265" i="1" l="1"/>
  <c r="G264" i="1"/>
  <c r="H146" i="1"/>
  <c r="F266" i="1" l="1"/>
  <c r="G265" i="1"/>
  <c r="J147" i="1"/>
  <c r="K147" i="1"/>
  <c r="F267" i="1" l="1"/>
  <c r="G266" i="1"/>
  <c r="H147" i="1"/>
  <c r="F268" i="1" l="1"/>
  <c r="G267" i="1"/>
  <c r="K148" i="1"/>
  <c r="J148" i="1"/>
  <c r="F269" i="1" l="1"/>
  <c r="G268" i="1"/>
  <c r="H148" i="1"/>
  <c r="G269" i="1" l="1"/>
  <c r="F270" i="1"/>
  <c r="K149" i="1"/>
  <c r="J149" i="1"/>
  <c r="F271" i="1" l="1"/>
  <c r="G270" i="1"/>
  <c r="H149" i="1"/>
  <c r="F272" i="1" l="1"/>
  <c r="G271" i="1"/>
  <c r="K150" i="1"/>
  <c r="J150" i="1"/>
  <c r="G272" i="1" l="1"/>
  <c r="F273" i="1"/>
  <c r="H150" i="1"/>
  <c r="F274" i="1" l="1"/>
  <c r="G273" i="1"/>
  <c r="K151" i="1"/>
  <c r="J151" i="1"/>
  <c r="F275" i="1" l="1"/>
  <c r="G274" i="1"/>
  <c r="H151" i="1"/>
  <c r="G275" i="1" l="1"/>
  <c r="F276" i="1"/>
  <c r="K152" i="1"/>
  <c r="J152" i="1"/>
  <c r="G276" i="1" l="1"/>
  <c r="F277" i="1"/>
  <c r="H152" i="1"/>
  <c r="F278" i="1" l="1"/>
  <c r="G277" i="1"/>
  <c r="K153" i="1"/>
  <c r="J153" i="1"/>
  <c r="F279" i="1" l="1"/>
  <c r="G278" i="1"/>
  <c r="H153" i="1"/>
  <c r="G279" i="1" l="1"/>
  <c r="F280" i="1"/>
  <c r="J154" i="1"/>
  <c r="K154" i="1"/>
  <c r="F281" i="1" l="1"/>
  <c r="G280" i="1"/>
  <c r="H154" i="1"/>
  <c r="F282" i="1" l="1"/>
  <c r="G281" i="1"/>
  <c r="K155" i="1"/>
  <c r="J155" i="1"/>
  <c r="G282" i="1" l="1"/>
  <c r="F283" i="1"/>
  <c r="H155" i="1"/>
  <c r="G283" i="1" l="1"/>
  <c r="F284" i="1"/>
  <c r="K156" i="1"/>
  <c r="J156" i="1"/>
  <c r="G284" i="1" l="1"/>
  <c r="F285" i="1"/>
  <c r="H156" i="1"/>
  <c r="F286" i="1" l="1"/>
  <c r="G285" i="1"/>
  <c r="J157" i="1"/>
  <c r="K157" i="1"/>
  <c r="F287" i="1" l="1"/>
  <c r="G286" i="1"/>
  <c r="H157" i="1"/>
  <c r="F288" i="1" l="1"/>
  <c r="G287" i="1"/>
  <c r="K158" i="1"/>
  <c r="J158" i="1"/>
  <c r="F289" i="1" l="1"/>
  <c r="G288" i="1"/>
  <c r="H158" i="1"/>
  <c r="G289" i="1" l="1"/>
  <c r="F290" i="1"/>
  <c r="K159" i="1"/>
  <c r="J159" i="1"/>
  <c r="G290" i="1" l="1"/>
  <c r="F291" i="1"/>
  <c r="H159" i="1"/>
  <c r="G291" i="1" l="1"/>
  <c r="F292" i="1"/>
  <c r="K160" i="1"/>
  <c r="J160" i="1"/>
  <c r="G292" i="1" l="1"/>
  <c r="F293" i="1"/>
  <c r="H160" i="1"/>
  <c r="G293" i="1" l="1"/>
  <c r="F294" i="1"/>
  <c r="K161" i="1"/>
  <c r="J161" i="1"/>
  <c r="F295" i="1" l="1"/>
  <c r="G294" i="1"/>
  <c r="H161" i="1"/>
  <c r="F296" i="1" l="1"/>
  <c r="G295" i="1"/>
  <c r="K162" i="1"/>
  <c r="J162" i="1"/>
  <c r="F297" i="1" l="1"/>
  <c r="G296" i="1"/>
  <c r="H162" i="1"/>
  <c r="G297" i="1" l="1"/>
  <c r="F298" i="1"/>
  <c r="K163" i="1"/>
  <c r="J163" i="1"/>
  <c r="F299" i="1" l="1"/>
  <c r="G298" i="1"/>
  <c r="H163" i="1"/>
  <c r="G299" i="1" l="1"/>
  <c r="F300" i="1"/>
  <c r="K164" i="1"/>
  <c r="J164" i="1"/>
  <c r="F301" i="1" l="1"/>
  <c r="G300" i="1"/>
  <c r="H164" i="1"/>
  <c r="F302" i="1" l="1"/>
  <c r="G301" i="1"/>
  <c r="K165" i="1"/>
  <c r="J165" i="1"/>
  <c r="F303" i="1" l="1"/>
  <c r="G302" i="1"/>
  <c r="H165" i="1"/>
  <c r="G303" i="1" l="1"/>
  <c r="F304" i="1"/>
  <c r="K166" i="1"/>
  <c r="J166" i="1"/>
  <c r="F305" i="1" l="1"/>
  <c r="G304" i="1"/>
  <c r="H166" i="1"/>
  <c r="G305" i="1" l="1"/>
  <c r="F306" i="1"/>
  <c r="K167" i="1"/>
  <c r="J167" i="1"/>
  <c r="F307" i="1" l="1"/>
  <c r="G306" i="1"/>
  <c r="H167" i="1"/>
  <c r="G307" i="1" l="1"/>
  <c r="F308" i="1"/>
  <c r="K168" i="1"/>
  <c r="J168" i="1"/>
  <c r="F309" i="1" l="1"/>
  <c r="G308" i="1"/>
  <c r="H168" i="1"/>
  <c r="G309" i="1" l="1"/>
  <c r="F310" i="1"/>
  <c r="K169" i="1"/>
  <c r="J169" i="1"/>
  <c r="G310" i="1" l="1"/>
  <c r="F311" i="1"/>
  <c r="H169" i="1"/>
  <c r="F312" i="1" l="1"/>
  <c r="G311" i="1"/>
  <c r="K170" i="1"/>
  <c r="J170" i="1"/>
  <c r="G312" i="1" l="1"/>
  <c r="F313" i="1"/>
  <c r="H170" i="1"/>
  <c r="G313" i="1" l="1"/>
  <c r="F314" i="1"/>
  <c r="K171" i="1"/>
  <c r="J171" i="1"/>
  <c r="F315" i="1" l="1"/>
  <c r="G314" i="1"/>
  <c r="H171" i="1"/>
  <c r="G315" i="1" l="1"/>
  <c r="F316" i="1"/>
  <c r="K172" i="1"/>
  <c r="J172" i="1"/>
  <c r="F317" i="1" l="1"/>
  <c r="G316" i="1"/>
  <c r="H172" i="1"/>
  <c r="F318" i="1" l="1"/>
  <c r="G317" i="1"/>
  <c r="K173" i="1"/>
  <c r="J173" i="1"/>
  <c r="F319" i="1" l="1"/>
  <c r="G318" i="1"/>
  <c r="H173" i="1"/>
  <c r="G319" i="1" l="1"/>
  <c r="F320" i="1"/>
  <c r="J174" i="1"/>
  <c r="K174" i="1"/>
  <c r="G320" i="1" l="1"/>
  <c r="F321" i="1"/>
  <c r="H174" i="1"/>
  <c r="F322" i="1" l="1"/>
  <c r="G321" i="1"/>
  <c r="J175" i="1"/>
  <c r="K175" i="1"/>
  <c r="G322" i="1" l="1"/>
  <c r="F323" i="1"/>
  <c r="H175" i="1"/>
  <c r="F324" i="1" l="1"/>
  <c r="G323" i="1"/>
  <c r="K176" i="1"/>
  <c r="J176" i="1"/>
  <c r="G324" i="1" l="1"/>
  <c r="F325" i="1"/>
  <c r="H176" i="1"/>
  <c r="G325" i="1" l="1"/>
  <c r="F326" i="1"/>
  <c r="K177" i="1"/>
  <c r="J177" i="1"/>
  <c r="G326" i="1" l="1"/>
  <c r="F327" i="1"/>
  <c r="H177" i="1"/>
  <c r="G327" i="1" l="1"/>
  <c r="F328" i="1"/>
  <c r="K178" i="1"/>
  <c r="J178" i="1"/>
  <c r="F329" i="1" l="1"/>
  <c r="G328" i="1"/>
  <c r="H178" i="1"/>
  <c r="G329" i="1" l="1"/>
  <c r="F330" i="1"/>
  <c r="K179" i="1"/>
  <c r="J179" i="1"/>
  <c r="F331" i="1" l="1"/>
  <c r="G330" i="1"/>
  <c r="H179" i="1"/>
  <c r="G331" i="1" l="1"/>
  <c r="F332" i="1"/>
  <c r="K180" i="1"/>
  <c r="J180" i="1"/>
  <c r="G332" i="1" l="1"/>
  <c r="F333" i="1"/>
  <c r="H180" i="1"/>
  <c r="G333" i="1" l="1"/>
  <c r="F334" i="1"/>
  <c r="K181" i="1"/>
  <c r="J181" i="1"/>
  <c r="G334" i="1" l="1"/>
  <c r="F335" i="1"/>
  <c r="H181" i="1"/>
  <c r="F336" i="1" l="1"/>
  <c r="G335" i="1"/>
  <c r="K182" i="1"/>
  <c r="J182" i="1"/>
  <c r="F337" i="1" l="1"/>
  <c r="G336" i="1"/>
  <c r="H182" i="1"/>
  <c r="G337" i="1" l="1"/>
  <c r="F338" i="1"/>
  <c r="K183" i="1"/>
  <c r="J183" i="1"/>
  <c r="F339" i="1" l="1"/>
  <c r="G338" i="1"/>
  <c r="H183" i="1"/>
  <c r="G339" i="1" l="1"/>
  <c r="F340" i="1"/>
  <c r="K184" i="1"/>
  <c r="J184" i="1"/>
  <c r="F341" i="1" l="1"/>
  <c r="G340" i="1"/>
  <c r="H184" i="1"/>
  <c r="F342" i="1" l="1"/>
  <c r="G341" i="1"/>
  <c r="K185" i="1"/>
  <c r="J185" i="1"/>
  <c r="F343" i="1" l="1"/>
  <c r="G342" i="1"/>
  <c r="H185" i="1"/>
  <c r="F344" i="1" l="1"/>
  <c r="G343" i="1"/>
  <c r="K186" i="1"/>
  <c r="J186" i="1"/>
  <c r="F345" i="1" l="1"/>
  <c r="G344" i="1"/>
  <c r="H186" i="1"/>
  <c r="F346" i="1" l="1"/>
  <c r="G345" i="1"/>
  <c r="K187" i="1"/>
  <c r="J187" i="1"/>
  <c r="F347" i="1" l="1"/>
  <c r="G346" i="1"/>
  <c r="H187" i="1"/>
  <c r="F348" i="1" l="1"/>
  <c r="G347" i="1"/>
  <c r="K188" i="1"/>
  <c r="J188" i="1"/>
  <c r="G348" i="1" l="1"/>
  <c r="F349" i="1"/>
  <c r="H188" i="1"/>
  <c r="F350" i="1" l="1"/>
  <c r="G349" i="1"/>
  <c r="K189" i="1"/>
  <c r="J189" i="1"/>
  <c r="F351" i="1" l="1"/>
  <c r="G350" i="1"/>
  <c r="H189" i="1"/>
  <c r="G351" i="1" l="1"/>
  <c r="F352" i="1"/>
  <c r="K190" i="1"/>
  <c r="J190" i="1"/>
  <c r="F353" i="1" l="1"/>
  <c r="G352" i="1"/>
  <c r="H190" i="1"/>
  <c r="F354" i="1" l="1"/>
  <c r="G353" i="1"/>
  <c r="K191" i="1"/>
  <c r="J191" i="1"/>
  <c r="G354" i="1" l="1"/>
  <c r="F355" i="1"/>
  <c r="H191" i="1"/>
  <c r="F356" i="1" l="1"/>
  <c r="G355" i="1"/>
  <c r="J192" i="1"/>
  <c r="K192" i="1"/>
  <c r="F357" i="1" l="1"/>
  <c r="G356" i="1"/>
  <c r="H192" i="1"/>
  <c r="G357" i="1" l="1"/>
  <c r="F358" i="1"/>
  <c r="J193" i="1"/>
  <c r="K193" i="1"/>
  <c r="G358" i="1" l="1"/>
  <c r="F359" i="1"/>
  <c r="H193" i="1"/>
  <c r="F360" i="1" l="1"/>
  <c r="G359" i="1"/>
  <c r="K194" i="1"/>
  <c r="J194" i="1"/>
  <c r="F361" i="1" l="1"/>
  <c r="G360" i="1"/>
  <c r="H194" i="1"/>
  <c r="F362" i="1" l="1"/>
  <c r="G361" i="1"/>
  <c r="K195" i="1"/>
  <c r="J195" i="1"/>
  <c r="F363" i="1" l="1"/>
  <c r="G362" i="1"/>
  <c r="H195" i="1"/>
  <c r="F364" i="1" l="1"/>
  <c r="G363" i="1"/>
  <c r="K196" i="1"/>
  <c r="J196" i="1"/>
  <c r="F365" i="1" l="1"/>
  <c r="G364" i="1"/>
  <c r="H196" i="1"/>
  <c r="F366" i="1" l="1"/>
  <c r="G365" i="1"/>
  <c r="K197" i="1"/>
  <c r="J197" i="1"/>
  <c r="F367" i="1" l="1"/>
  <c r="G366" i="1"/>
  <c r="H197" i="1"/>
  <c r="F368" i="1" l="1"/>
  <c r="G367" i="1"/>
  <c r="K198" i="1"/>
  <c r="J198" i="1"/>
  <c r="G368" i="1" l="1"/>
  <c r="F369" i="1"/>
  <c r="H198" i="1"/>
  <c r="F370" i="1" l="1"/>
  <c r="G369" i="1"/>
  <c r="K199" i="1"/>
  <c r="J199" i="1"/>
  <c r="G370" i="1" l="1"/>
  <c r="F371" i="1"/>
  <c r="H199" i="1"/>
  <c r="G371" i="1" l="1"/>
  <c r="F372" i="1"/>
  <c r="K200" i="1"/>
  <c r="J200" i="1"/>
  <c r="F373" i="1" l="1"/>
  <c r="G372" i="1"/>
  <c r="H200" i="1"/>
  <c r="G373" i="1" l="1"/>
  <c r="F374" i="1"/>
  <c r="K201" i="1"/>
  <c r="J201" i="1"/>
  <c r="G374" i="1" l="1"/>
  <c r="F375" i="1"/>
  <c r="H201" i="1"/>
  <c r="F376" i="1" l="1"/>
  <c r="G375" i="1"/>
  <c r="K202" i="1"/>
  <c r="J202" i="1"/>
  <c r="G376" i="1" l="1"/>
  <c r="F377" i="1"/>
  <c r="H202" i="1"/>
  <c r="F378" i="1" l="1"/>
  <c r="G377" i="1"/>
  <c r="K203" i="1"/>
  <c r="J203" i="1"/>
  <c r="F379" i="1" l="1"/>
  <c r="G378" i="1"/>
  <c r="H203" i="1"/>
  <c r="F380" i="1" l="1"/>
  <c r="G379" i="1"/>
  <c r="J204" i="1"/>
  <c r="K204" i="1"/>
  <c r="G380" i="1" l="1"/>
  <c r="F381" i="1"/>
  <c r="H204" i="1"/>
  <c r="G381" i="1" l="1"/>
  <c r="F382" i="1"/>
  <c r="K205" i="1"/>
  <c r="J205" i="1"/>
  <c r="F383" i="1" l="1"/>
  <c r="G382" i="1"/>
  <c r="H205" i="1"/>
  <c r="G383" i="1" l="1"/>
  <c r="F384" i="1"/>
  <c r="K206" i="1"/>
  <c r="J206" i="1"/>
  <c r="G384" i="1" l="1"/>
  <c r="F385" i="1"/>
  <c r="H206" i="1"/>
  <c r="G385" i="1" l="1"/>
  <c r="F386" i="1"/>
  <c r="J207" i="1"/>
  <c r="K207" i="1"/>
  <c r="F387" i="1" l="1"/>
  <c r="G386" i="1"/>
  <c r="H207" i="1"/>
  <c r="F388" i="1" l="1"/>
  <c r="G387" i="1"/>
  <c r="K208" i="1"/>
  <c r="J208" i="1"/>
  <c r="F389" i="1" l="1"/>
  <c r="G388" i="1"/>
  <c r="H208" i="1"/>
  <c r="F390" i="1" l="1"/>
  <c r="G389" i="1"/>
  <c r="K209" i="1"/>
  <c r="J209" i="1"/>
  <c r="F391" i="1" l="1"/>
  <c r="G390" i="1"/>
  <c r="H209" i="1"/>
  <c r="G391" i="1" l="1"/>
  <c r="F392" i="1"/>
  <c r="K210" i="1"/>
  <c r="J210" i="1"/>
  <c r="F393" i="1" l="1"/>
  <c r="G392" i="1"/>
  <c r="H210" i="1"/>
  <c r="F394" i="1" l="1"/>
  <c r="G393" i="1"/>
  <c r="K211" i="1"/>
  <c r="J211" i="1"/>
  <c r="F395" i="1" l="1"/>
  <c r="G394" i="1"/>
  <c r="H211" i="1"/>
  <c r="F396" i="1" l="1"/>
  <c r="G395" i="1"/>
  <c r="J212" i="1"/>
  <c r="K212" i="1"/>
  <c r="G396" i="1" l="1"/>
  <c r="F397" i="1"/>
  <c r="H212" i="1"/>
  <c r="J213" i="1" s="1"/>
  <c r="G397" i="1" l="1"/>
  <c r="F398" i="1"/>
  <c r="K213" i="1"/>
  <c r="F399" i="1" l="1"/>
  <c r="G398" i="1"/>
  <c r="H213" i="1"/>
  <c r="J214" i="1" s="1"/>
  <c r="G399" i="1" l="1"/>
  <c r="F400" i="1"/>
  <c r="K214" i="1"/>
  <c r="H214" i="1"/>
  <c r="G400" i="1" l="1"/>
  <c r="F401" i="1"/>
  <c r="J215" i="1"/>
  <c r="K215" i="1"/>
  <c r="F402" i="1" l="1"/>
  <c r="G401" i="1"/>
  <c r="H215" i="1"/>
  <c r="F403" i="1" l="1"/>
  <c r="G402" i="1"/>
  <c r="J216" i="1"/>
  <c r="K216" i="1"/>
  <c r="F404" i="1" l="1"/>
  <c r="G403" i="1"/>
  <c r="H216" i="1"/>
  <c r="F405" i="1" l="1"/>
  <c r="G404" i="1"/>
  <c r="K217" i="1"/>
  <c r="J217" i="1"/>
  <c r="F406" i="1" l="1"/>
  <c r="G405" i="1"/>
  <c r="H217" i="1"/>
  <c r="G406" i="1" l="1"/>
  <c r="F407" i="1"/>
  <c r="K218" i="1"/>
  <c r="J218" i="1"/>
  <c r="G407" i="1" l="1"/>
  <c r="F408" i="1"/>
  <c r="H218" i="1"/>
  <c r="G408" i="1" l="1"/>
  <c r="F409" i="1"/>
  <c r="K219" i="1"/>
  <c r="J219" i="1"/>
  <c r="F410" i="1" l="1"/>
  <c r="G409" i="1"/>
  <c r="H219" i="1"/>
  <c r="F411" i="1" l="1"/>
  <c r="G410" i="1"/>
  <c r="K220" i="1"/>
  <c r="J220" i="1"/>
  <c r="F412" i="1" l="1"/>
  <c r="G411" i="1"/>
  <c r="H220" i="1"/>
  <c r="G412" i="1" l="1"/>
  <c r="F413" i="1"/>
  <c r="K221" i="1"/>
  <c r="J221" i="1"/>
  <c r="F414" i="1" l="1"/>
  <c r="G413" i="1"/>
  <c r="H221" i="1"/>
  <c r="F415" i="1" l="1"/>
  <c r="G414" i="1"/>
  <c r="K222" i="1"/>
  <c r="J222" i="1"/>
  <c r="G415" i="1" l="1"/>
  <c r="F416" i="1"/>
  <c r="H222" i="1"/>
  <c r="G416" i="1" l="1"/>
  <c r="F417" i="1"/>
  <c r="K223" i="1"/>
  <c r="J223" i="1"/>
  <c r="G417" i="1" l="1"/>
  <c r="F418" i="1"/>
  <c r="H223" i="1"/>
  <c r="G418" i="1" l="1"/>
  <c r="F419" i="1"/>
  <c r="K224" i="1"/>
  <c r="J224" i="1"/>
  <c r="F420" i="1" l="1"/>
  <c r="G419" i="1"/>
  <c r="H224" i="1"/>
  <c r="G420" i="1" l="1"/>
  <c r="F421" i="1"/>
  <c r="K225" i="1"/>
  <c r="J225" i="1"/>
  <c r="G421" i="1" l="1"/>
  <c r="F422" i="1"/>
  <c r="H225" i="1"/>
  <c r="F423" i="1" l="1"/>
  <c r="G422" i="1"/>
  <c r="K226" i="1"/>
  <c r="J226" i="1"/>
  <c r="G423" i="1" l="1"/>
  <c r="F424" i="1"/>
  <c r="H226" i="1"/>
  <c r="G424" i="1" l="1"/>
  <c r="F425" i="1"/>
  <c r="J227" i="1"/>
  <c r="K227" i="1"/>
  <c r="F426" i="1" l="1"/>
  <c r="G425" i="1"/>
  <c r="H227" i="1"/>
  <c r="F427" i="1" l="1"/>
  <c r="G426" i="1"/>
  <c r="J228" i="1"/>
  <c r="K228" i="1"/>
  <c r="F428" i="1" l="1"/>
  <c r="G427" i="1"/>
  <c r="H228" i="1"/>
  <c r="F429" i="1" l="1"/>
  <c r="G428" i="1"/>
  <c r="K229" i="1"/>
  <c r="J229" i="1"/>
  <c r="G429" i="1" l="1"/>
  <c r="F430" i="1"/>
  <c r="H229" i="1"/>
  <c r="F431" i="1" l="1"/>
  <c r="G430" i="1"/>
  <c r="K230" i="1"/>
  <c r="J230" i="1"/>
  <c r="G431" i="1" l="1"/>
  <c r="F432" i="1"/>
  <c r="H230" i="1"/>
  <c r="F433" i="1" l="1"/>
  <c r="G432" i="1"/>
  <c r="K231" i="1"/>
  <c r="J231" i="1"/>
  <c r="F434" i="1" l="1"/>
  <c r="G433" i="1"/>
  <c r="H231" i="1"/>
  <c r="F435" i="1" l="1"/>
  <c r="G434" i="1"/>
  <c r="K232" i="1"/>
  <c r="J232" i="1"/>
  <c r="G435" i="1" l="1"/>
  <c r="F436" i="1"/>
  <c r="H232" i="1"/>
  <c r="G436" i="1" l="1"/>
  <c r="F437" i="1"/>
  <c r="K233" i="1"/>
  <c r="J233" i="1"/>
  <c r="G437" i="1" l="1"/>
  <c r="F438" i="1"/>
  <c r="H233" i="1"/>
  <c r="G438" i="1" l="1"/>
  <c r="F439" i="1"/>
  <c r="K234" i="1"/>
  <c r="J234" i="1"/>
  <c r="G439" i="1" l="1"/>
  <c r="F440" i="1"/>
  <c r="H234" i="1"/>
  <c r="F441" i="1" l="1"/>
  <c r="G440" i="1"/>
  <c r="K235" i="1"/>
  <c r="J235" i="1"/>
  <c r="G441" i="1" l="1"/>
  <c r="F442" i="1"/>
  <c r="H235" i="1"/>
  <c r="F443" i="1" l="1"/>
  <c r="G442" i="1"/>
  <c r="J236" i="1"/>
  <c r="K236" i="1"/>
  <c r="F444" i="1" l="1"/>
  <c r="G443" i="1"/>
  <c r="H236" i="1"/>
  <c r="F445" i="1" l="1"/>
  <c r="G444" i="1"/>
  <c r="K237" i="1"/>
  <c r="J237" i="1"/>
  <c r="G445" i="1" l="1"/>
  <c r="F446" i="1"/>
  <c r="H237" i="1"/>
  <c r="F447" i="1" l="1"/>
  <c r="G446" i="1"/>
  <c r="K238" i="1"/>
  <c r="J238" i="1"/>
  <c r="F448" i="1" l="1"/>
  <c r="G447" i="1"/>
  <c r="H238" i="1"/>
  <c r="F449" i="1" l="1"/>
  <c r="G448" i="1"/>
  <c r="K239" i="1"/>
  <c r="J239" i="1"/>
  <c r="G449" i="1" l="1"/>
  <c r="F450" i="1"/>
  <c r="H239" i="1"/>
  <c r="G450" i="1" l="1"/>
  <c r="F451" i="1"/>
  <c r="K240" i="1"/>
  <c r="J240" i="1"/>
  <c r="F452" i="1" l="1"/>
  <c r="G451" i="1"/>
  <c r="H240" i="1"/>
  <c r="G452" i="1" l="1"/>
  <c r="F453" i="1"/>
  <c r="K241" i="1"/>
  <c r="J241" i="1"/>
  <c r="F454" i="1" l="1"/>
  <c r="G453" i="1"/>
  <c r="H241" i="1"/>
  <c r="G454" i="1" l="1"/>
  <c r="F455" i="1"/>
  <c r="J242" i="1"/>
  <c r="K242" i="1"/>
  <c r="F456" i="1" l="1"/>
  <c r="G455" i="1"/>
  <c r="H242" i="1"/>
  <c r="F457" i="1" l="1"/>
  <c r="G456" i="1"/>
  <c r="K243" i="1"/>
  <c r="J243" i="1"/>
  <c r="G457" i="1" l="1"/>
  <c r="F458" i="1"/>
  <c r="H243" i="1"/>
  <c r="F459" i="1" l="1"/>
  <c r="G458" i="1"/>
  <c r="K244" i="1"/>
  <c r="J244" i="1"/>
  <c r="F460" i="1" l="1"/>
  <c r="G459" i="1"/>
  <c r="H244" i="1"/>
  <c r="F461" i="1" l="1"/>
  <c r="G460" i="1"/>
  <c r="J245" i="1"/>
  <c r="K245" i="1"/>
  <c r="F462" i="1" l="1"/>
  <c r="G461" i="1"/>
  <c r="H245" i="1"/>
  <c r="F463" i="1" l="1"/>
  <c r="G462" i="1"/>
  <c r="J246" i="1"/>
  <c r="K246" i="1"/>
  <c r="G463" i="1" l="1"/>
  <c r="F464" i="1"/>
  <c r="H246" i="1"/>
  <c r="G464" i="1" l="1"/>
  <c r="F465" i="1"/>
  <c r="K247" i="1"/>
  <c r="J247" i="1"/>
  <c r="F466" i="1" l="1"/>
  <c r="G465" i="1"/>
  <c r="H247" i="1"/>
  <c r="F467" i="1" l="1"/>
  <c r="G466" i="1"/>
  <c r="J248" i="1"/>
  <c r="K248" i="1"/>
  <c r="F468" i="1" l="1"/>
  <c r="G467" i="1"/>
  <c r="H248" i="1"/>
  <c r="G468" i="1" l="1"/>
  <c r="F469" i="1"/>
  <c r="J249" i="1"/>
  <c r="K249" i="1"/>
  <c r="G469" i="1" l="1"/>
  <c r="F470" i="1"/>
  <c r="H249" i="1"/>
  <c r="F471" i="1" l="1"/>
  <c r="G470" i="1"/>
  <c r="K250" i="1"/>
  <c r="J250" i="1"/>
  <c r="G471" i="1" l="1"/>
  <c r="F472" i="1"/>
  <c r="H250" i="1"/>
  <c r="F473" i="1" l="1"/>
  <c r="G472" i="1"/>
  <c r="K251" i="1"/>
  <c r="J251" i="1"/>
  <c r="F474" i="1" l="1"/>
  <c r="G473" i="1"/>
  <c r="H251" i="1"/>
  <c r="G474" i="1" l="1"/>
  <c r="F475" i="1"/>
  <c r="K252" i="1"/>
  <c r="J252" i="1"/>
  <c r="F476" i="1" l="1"/>
  <c r="G475" i="1"/>
  <c r="H252" i="1"/>
  <c r="G476" i="1" l="1"/>
  <c r="F477" i="1"/>
  <c r="K253" i="1"/>
  <c r="J253" i="1"/>
  <c r="G477" i="1" l="1"/>
  <c r="F478" i="1"/>
  <c r="H253" i="1"/>
  <c r="F479" i="1" l="1"/>
  <c r="G478" i="1"/>
  <c r="K254" i="1"/>
  <c r="J254" i="1"/>
  <c r="F480" i="1" l="1"/>
  <c r="G479" i="1"/>
  <c r="H254" i="1"/>
  <c r="G480" i="1" l="1"/>
  <c r="F481" i="1"/>
  <c r="K255" i="1"/>
  <c r="J255" i="1"/>
  <c r="F482" i="1" l="1"/>
  <c r="G481" i="1"/>
  <c r="H255" i="1"/>
  <c r="F483" i="1" l="1"/>
  <c r="G482" i="1"/>
  <c r="K256" i="1"/>
  <c r="J256" i="1"/>
  <c r="F484" i="1" l="1"/>
  <c r="G483" i="1"/>
  <c r="H256" i="1"/>
  <c r="G484" i="1" l="1"/>
  <c r="F485" i="1"/>
  <c r="J257" i="1"/>
  <c r="K257" i="1"/>
  <c r="F486" i="1" l="1"/>
  <c r="G485" i="1"/>
  <c r="H257" i="1"/>
  <c r="K258" i="1" s="1"/>
  <c r="G486" i="1" l="1"/>
  <c r="F487" i="1"/>
  <c r="H258" i="1"/>
  <c r="J259" i="1" s="1"/>
  <c r="J258" i="1"/>
  <c r="F488" i="1" l="1"/>
  <c r="G487" i="1"/>
  <c r="K259" i="1"/>
  <c r="H259" i="1"/>
  <c r="G488" i="1" l="1"/>
  <c r="F489" i="1"/>
  <c r="J260" i="1"/>
  <c r="K260" i="1"/>
  <c r="F490" i="1" l="1"/>
  <c r="G489" i="1"/>
  <c r="H260" i="1"/>
  <c r="F491" i="1" l="1"/>
  <c r="G490" i="1"/>
  <c r="K261" i="1"/>
  <c r="J261" i="1"/>
  <c r="G491" i="1" l="1"/>
  <c r="F492" i="1"/>
  <c r="H261" i="1"/>
  <c r="F493" i="1" l="1"/>
  <c r="G492" i="1"/>
  <c r="K262" i="1"/>
  <c r="J262" i="1"/>
  <c r="F494" i="1" l="1"/>
  <c r="G493" i="1"/>
  <c r="H262" i="1"/>
  <c r="G494" i="1" l="1"/>
  <c r="F495" i="1"/>
  <c r="K263" i="1"/>
  <c r="J263" i="1"/>
  <c r="F496" i="1" l="1"/>
  <c r="G495" i="1"/>
  <c r="H263" i="1"/>
  <c r="G496" i="1" l="1"/>
  <c r="F497" i="1"/>
  <c r="K264" i="1"/>
  <c r="J264" i="1"/>
  <c r="F498" i="1" l="1"/>
  <c r="G497" i="1"/>
  <c r="H264" i="1"/>
  <c r="G498" i="1" l="1"/>
  <c r="F499" i="1"/>
  <c r="K265" i="1"/>
  <c r="J265" i="1"/>
  <c r="G499" i="1" l="1"/>
  <c r="F500" i="1"/>
  <c r="H265" i="1"/>
  <c r="F501" i="1" l="1"/>
  <c r="G500" i="1"/>
  <c r="K266" i="1"/>
  <c r="J266" i="1"/>
  <c r="G501" i="1" l="1"/>
  <c r="F502" i="1"/>
  <c r="H266" i="1"/>
  <c r="F503" i="1" l="1"/>
  <c r="G502" i="1"/>
  <c r="K267" i="1"/>
  <c r="J267" i="1"/>
  <c r="G503" i="1" l="1"/>
  <c r="F504" i="1"/>
  <c r="H267" i="1"/>
  <c r="G504" i="1" l="1"/>
  <c r="F505" i="1"/>
  <c r="K268" i="1"/>
  <c r="J268" i="1"/>
  <c r="G505" i="1" l="1"/>
  <c r="F506" i="1"/>
  <c r="H268" i="1"/>
  <c r="F507" i="1" l="1"/>
  <c r="G506" i="1"/>
  <c r="K269" i="1"/>
  <c r="J269" i="1"/>
  <c r="F508" i="1" l="1"/>
  <c r="G507" i="1"/>
  <c r="H269" i="1"/>
  <c r="F509" i="1" l="1"/>
  <c r="G508" i="1"/>
  <c r="K270" i="1"/>
  <c r="J270" i="1"/>
  <c r="G509" i="1" l="1"/>
  <c r="F510" i="1"/>
  <c r="H270" i="1"/>
  <c r="F511" i="1" l="1"/>
  <c r="G511" i="1" s="1"/>
  <c r="G510" i="1"/>
  <c r="K271" i="1"/>
  <c r="J271" i="1"/>
  <c r="H271" i="1" l="1"/>
  <c r="K272" i="1" l="1"/>
  <c r="J272" i="1"/>
  <c r="H272" i="1" l="1"/>
  <c r="K273" i="1" l="1"/>
  <c r="J273" i="1"/>
  <c r="H273" i="1" l="1"/>
  <c r="K274" i="1" l="1"/>
  <c r="J274" i="1"/>
  <c r="H274" i="1" l="1"/>
  <c r="K275" i="1" l="1"/>
  <c r="J275" i="1"/>
  <c r="H275" i="1" l="1"/>
  <c r="J276" i="1" s="1"/>
  <c r="K276" i="1" l="1"/>
  <c r="H276" i="1" l="1"/>
  <c r="K277" i="1"/>
  <c r="J277" i="1"/>
  <c r="H277" i="1" l="1"/>
  <c r="J278" i="1" l="1"/>
  <c r="K278" i="1"/>
  <c r="H278" i="1" l="1"/>
  <c r="K279" i="1" l="1"/>
  <c r="J279" i="1"/>
  <c r="H279" i="1" l="1"/>
  <c r="J280" i="1"/>
  <c r="K280" i="1" l="1"/>
  <c r="H280" i="1" l="1"/>
  <c r="K281" i="1"/>
  <c r="J281" i="1"/>
  <c r="H281" i="1" l="1"/>
  <c r="K282" i="1" l="1"/>
  <c r="J282" i="1"/>
  <c r="H282" i="1" l="1"/>
  <c r="K283" i="1" l="1"/>
  <c r="J283" i="1"/>
  <c r="H283" i="1" l="1"/>
  <c r="J284" i="1" l="1"/>
  <c r="K284" i="1"/>
  <c r="H284" i="1" l="1"/>
  <c r="K285" i="1" l="1"/>
  <c r="J285" i="1"/>
  <c r="H285" i="1" l="1"/>
  <c r="K286" i="1" l="1"/>
  <c r="J286" i="1"/>
  <c r="H286" i="1" l="1"/>
  <c r="K287" i="1" l="1"/>
  <c r="J287" i="1"/>
  <c r="H287" i="1" l="1"/>
  <c r="J288" i="1"/>
  <c r="K288" i="1" l="1"/>
  <c r="H288" i="1"/>
  <c r="K289" i="1" l="1"/>
  <c r="J289" i="1"/>
  <c r="H289" i="1" l="1"/>
  <c r="K290" i="1" l="1"/>
  <c r="J290" i="1"/>
  <c r="H290" i="1" l="1"/>
  <c r="K291" i="1" l="1"/>
  <c r="J291" i="1"/>
  <c r="H291" i="1" l="1"/>
  <c r="K292" i="1" l="1"/>
  <c r="J292" i="1"/>
  <c r="H292" i="1" l="1"/>
  <c r="K293" i="1" l="1"/>
  <c r="J293" i="1"/>
  <c r="H293" i="1" l="1"/>
  <c r="K294" i="1" l="1"/>
  <c r="J294" i="1"/>
  <c r="H294" i="1" l="1"/>
  <c r="K295" i="1" l="1"/>
  <c r="J295" i="1"/>
  <c r="H295" i="1" l="1"/>
  <c r="K296" i="1" l="1"/>
  <c r="J296" i="1"/>
  <c r="H296" i="1" l="1"/>
  <c r="K297" i="1" l="1"/>
  <c r="J297" i="1"/>
  <c r="H297" i="1" l="1"/>
  <c r="K298" i="1" l="1"/>
  <c r="J298" i="1"/>
  <c r="H298" i="1" l="1"/>
  <c r="K299" i="1" l="1"/>
  <c r="J299" i="1"/>
  <c r="H299" i="1" l="1"/>
  <c r="K300" i="1" l="1"/>
  <c r="J300" i="1"/>
  <c r="H300" i="1" l="1"/>
  <c r="K301" i="1" l="1"/>
  <c r="J301" i="1"/>
  <c r="H301" i="1" l="1"/>
  <c r="J302" i="1" l="1"/>
  <c r="K302" i="1"/>
  <c r="H302" i="1" l="1"/>
  <c r="K303" i="1" l="1"/>
  <c r="J303" i="1"/>
  <c r="H303" i="1" l="1"/>
  <c r="K304" i="1" l="1"/>
  <c r="J304" i="1"/>
  <c r="H304" i="1" l="1"/>
  <c r="K305" i="1" l="1"/>
  <c r="J305" i="1"/>
  <c r="H305" i="1" l="1"/>
  <c r="K306" i="1" l="1"/>
  <c r="J306" i="1"/>
  <c r="H306" i="1" l="1"/>
  <c r="J307" i="1" l="1"/>
  <c r="K307" i="1"/>
  <c r="H307" i="1" l="1"/>
  <c r="J308" i="1" l="1"/>
  <c r="K308" i="1"/>
  <c r="H308" i="1" l="1"/>
  <c r="K309" i="1" l="1"/>
  <c r="J309" i="1"/>
  <c r="H309" i="1" l="1"/>
  <c r="J310" i="1" l="1"/>
  <c r="K310" i="1"/>
  <c r="H310" i="1" l="1"/>
  <c r="K311" i="1" l="1"/>
  <c r="J311" i="1"/>
  <c r="H311" i="1" l="1"/>
  <c r="J312" i="1" l="1"/>
  <c r="K312" i="1"/>
  <c r="H312" i="1" l="1"/>
  <c r="K313" i="1" l="1"/>
  <c r="J313" i="1"/>
  <c r="H313" i="1" l="1"/>
  <c r="K314" i="1" l="1"/>
  <c r="J314" i="1"/>
  <c r="H314" i="1" l="1"/>
  <c r="K315" i="1" l="1"/>
  <c r="J315" i="1"/>
  <c r="H315" i="1" l="1"/>
  <c r="J316" i="1" l="1"/>
  <c r="K316" i="1"/>
  <c r="H316" i="1" l="1"/>
  <c r="K317" i="1" l="1"/>
  <c r="J317" i="1"/>
  <c r="H317" i="1" l="1"/>
  <c r="K318" i="1" l="1"/>
  <c r="J318" i="1"/>
  <c r="H318" i="1" l="1"/>
  <c r="K319" i="1" l="1"/>
  <c r="J319" i="1"/>
  <c r="H319" i="1" l="1"/>
  <c r="K320" i="1" l="1"/>
  <c r="J320" i="1"/>
  <c r="H320" i="1" l="1"/>
  <c r="K321" i="1" l="1"/>
  <c r="J321" i="1"/>
  <c r="H321" i="1" l="1"/>
  <c r="K322" i="1" l="1"/>
  <c r="J322" i="1"/>
  <c r="H322" i="1" l="1"/>
  <c r="J323" i="1" l="1"/>
  <c r="K323" i="1"/>
  <c r="H323" i="1" l="1"/>
  <c r="K324" i="1" l="1"/>
  <c r="J324" i="1"/>
  <c r="H324" i="1" l="1"/>
  <c r="J325" i="1" l="1"/>
  <c r="K325" i="1"/>
  <c r="H325" i="1" l="1"/>
  <c r="K326" i="1" l="1"/>
  <c r="J326" i="1"/>
  <c r="H326" i="1" l="1"/>
  <c r="K327" i="1" l="1"/>
  <c r="J327" i="1"/>
  <c r="H327" i="1" l="1"/>
  <c r="J328" i="1" l="1"/>
  <c r="K328" i="1"/>
  <c r="H328" i="1" l="1"/>
  <c r="K329" i="1" l="1"/>
  <c r="J329" i="1"/>
  <c r="H329" i="1" l="1"/>
  <c r="J330" i="1"/>
  <c r="K330" i="1" l="1"/>
  <c r="H330" i="1" l="1"/>
  <c r="K331" i="1"/>
  <c r="J331" i="1"/>
  <c r="H331" i="1" l="1"/>
  <c r="K332" i="1" l="1"/>
  <c r="J332" i="1"/>
  <c r="H332" i="1" l="1"/>
  <c r="K333" i="1" l="1"/>
  <c r="J333" i="1"/>
  <c r="H333" i="1" l="1"/>
  <c r="J334" i="1" l="1"/>
  <c r="K334" i="1"/>
  <c r="H334" i="1" l="1"/>
  <c r="J335" i="1" l="1"/>
  <c r="K335" i="1"/>
  <c r="H335" i="1" l="1"/>
  <c r="K336" i="1" l="1"/>
  <c r="J336" i="1"/>
  <c r="H336" i="1" l="1"/>
  <c r="K337" i="1" l="1"/>
  <c r="J337" i="1"/>
  <c r="H337" i="1" l="1"/>
  <c r="K338" i="1" l="1"/>
  <c r="J338" i="1"/>
  <c r="H338" i="1" l="1"/>
  <c r="K339" i="1" l="1"/>
  <c r="J339" i="1"/>
  <c r="H339" i="1" l="1"/>
  <c r="J340" i="1" l="1"/>
  <c r="K340" i="1"/>
  <c r="H340" i="1" l="1"/>
  <c r="K341" i="1" l="1"/>
  <c r="J341" i="1"/>
  <c r="H341" i="1" l="1"/>
  <c r="K342" i="1" l="1"/>
  <c r="J342" i="1"/>
  <c r="H342" i="1" l="1"/>
  <c r="K343" i="1" l="1"/>
  <c r="J343" i="1"/>
  <c r="H343" i="1" l="1"/>
  <c r="J344" i="1" l="1"/>
  <c r="K344" i="1"/>
  <c r="H344" i="1" l="1"/>
  <c r="K345" i="1" l="1"/>
  <c r="J345" i="1"/>
  <c r="H345" i="1" l="1"/>
  <c r="K346" i="1" l="1"/>
  <c r="J346" i="1"/>
  <c r="H346" i="1" l="1"/>
  <c r="K347" i="1" l="1"/>
  <c r="J347" i="1"/>
  <c r="H347" i="1" l="1"/>
  <c r="K348" i="1" l="1"/>
  <c r="J348" i="1"/>
  <c r="H348" i="1" l="1"/>
  <c r="J349" i="1" l="1"/>
  <c r="K349" i="1"/>
  <c r="H349" i="1" l="1"/>
  <c r="J350" i="1"/>
  <c r="K350" i="1" l="1"/>
  <c r="H350" i="1"/>
  <c r="K351" i="1" l="1"/>
  <c r="J351" i="1"/>
  <c r="H351" i="1" l="1"/>
  <c r="K352" i="1" l="1"/>
  <c r="J352" i="1"/>
  <c r="H352" i="1" l="1"/>
  <c r="K353" i="1" l="1"/>
  <c r="J353" i="1"/>
  <c r="H353" i="1" l="1"/>
  <c r="K354" i="1" l="1"/>
  <c r="J354" i="1"/>
  <c r="H354" i="1" l="1"/>
  <c r="J355" i="1" l="1"/>
  <c r="K355" i="1"/>
  <c r="H355" i="1" l="1"/>
  <c r="K356" i="1" l="1"/>
  <c r="J356" i="1"/>
  <c r="H356" i="1" l="1"/>
  <c r="K357" i="1" l="1"/>
  <c r="J357" i="1"/>
  <c r="H357" i="1" l="1"/>
  <c r="K358" i="1" l="1"/>
  <c r="J358" i="1"/>
  <c r="H358" i="1" l="1"/>
  <c r="K359" i="1" l="1"/>
  <c r="J359" i="1"/>
  <c r="H359" i="1" l="1"/>
  <c r="K360" i="1" l="1"/>
  <c r="J360" i="1"/>
  <c r="H360" i="1" l="1"/>
  <c r="K361" i="1" l="1"/>
  <c r="J361" i="1"/>
  <c r="H361" i="1" l="1"/>
  <c r="K362" i="1" l="1"/>
  <c r="J362" i="1"/>
  <c r="H362" i="1" l="1"/>
  <c r="K363" i="1" l="1"/>
  <c r="J363" i="1"/>
  <c r="H363" i="1" l="1"/>
  <c r="J364" i="1" l="1"/>
  <c r="K364" i="1"/>
  <c r="H364" i="1" l="1"/>
  <c r="K365" i="1" l="1"/>
  <c r="J365" i="1"/>
  <c r="H365" i="1" l="1"/>
  <c r="K366" i="1" l="1"/>
  <c r="J366" i="1"/>
  <c r="H366" i="1" l="1"/>
  <c r="J367" i="1" l="1"/>
  <c r="K367" i="1"/>
  <c r="H367" i="1" l="1"/>
  <c r="J368" i="1" l="1"/>
  <c r="K368" i="1"/>
  <c r="H368" i="1" l="1"/>
  <c r="J369" i="1" l="1"/>
  <c r="K369" i="1"/>
  <c r="H369" i="1" l="1"/>
  <c r="K370" i="1" l="1"/>
  <c r="J370" i="1"/>
  <c r="H370" i="1" l="1"/>
  <c r="J371" i="1" l="1"/>
  <c r="K371" i="1"/>
  <c r="H371" i="1" l="1"/>
  <c r="K372" i="1" l="1"/>
  <c r="J372" i="1"/>
  <c r="H372" i="1" l="1"/>
  <c r="J373" i="1" l="1"/>
  <c r="K373" i="1"/>
  <c r="H373" i="1" l="1"/>
  <c r="K374" i="1" l="1"/>
  <c r="J374" i="1"/>
  <c r="H374" i="1" l="1"/>
  <c r="J375" i="1" l="1"/>
  <c r="K375" i="1"/>
  <c r="H375" i="1" l="1"/>
  <c r="K376" i="1" l="1"/>
  <c r="J376" i="1"/>
  <c r="H376" i="1" l="1"/>
  <c r="K377" i="1" l="1"/>
  <c r="J377" i="1"/>
  <c r="H377" i="1" l="1"/>
  <c r="J378" i="1" l="1"/>
  <c r="K378" i="1"/>
  <c r="H378" i="1" l="1"/>
  <c r="K379" i="1" l="1"/>
  <c r="J379" i="1"/>
  <c r="H379" i="1" l="1"/>
  <c r="K380" i="1" l="1"/>
  <c r="J380" i="1"/>
  <c r="H380" i="1" l="1"/>
  <c r="K381" i="1" l="1"/>
  <c r="J381" i="1"/>
  <c r="H381" i="1" l="1"/>
  <c r="K382" i="1" l="1"/>
  <c r="J382" i="1"/>
  <c r="H382" i="1" l="1"/>
  <c r="K383" i="1" l="1"/>
  <c r="J383" i="1"/>
  <c r="H383" i="1" l="1"/>
  <c r="K384" i="1" l="1"/>
  <c r="J384" i="1"/>
  <c r="H384" i="1" l="1"/>
  <c r="K385" i="1" l="1"/>
  <c r="J385" i="1"/>
  <c r="H385" i="1" l="1"/>
  <c r="K386" i="1" l="1"/>
  <c r="J386" i="1"/>
  <c r="H386" i="1" l="1"/>
  <c r="K387" i="1" l="1"/>
  <c r="J387" i="1"/>
  <c r="H387" i="1" l="1"/>
  <c r="K388" i="1" l="1"/>
  <c r="J388" i="1"/>
  <c r="H388" i="1" l="1"/>
  <c r="K389" i="1" l="1"/>
  <c r="J389" i="1"/>
  <c r="H389" i="1" l="1"/>
  <c r="K390" i="1" l="1"/>
  <c r="J390" i="1"/>
  <c r="H390" i="1" l="1"/>
  <c r="K391" i="1" l="1"/>
  <c r="J391" i="1"/>
  <c r="H391" i="1" l="1"/>
  <c r="K392" i="1" l="1"/>
  <c r="J392" i="1"/>
  <c r="H392" i="1" l="1"/>
  <c r="K393" i="1" l="1"/>
  <c r="J393" i="1"/>
  <c r="H393" i="1" l="1"/>
  <c r="J394" i="1" l="1"/>
  <c r="K394" i="1"/>
  <c r="H394" i="1" l="1"/>
  <c r="J395" i="1" l="1"/>
  <c r="K395" i="1"/>
  <c r="H395" i="1" l="1"/>
  <c r="K396" i="1" l="1"/>
  <c r="J396" i="1"/>
  <c r="H396" i="1" l="1"/>
  <c r="K397" i="1" l="1"/>
  <c r="J397" i="1"/>
  <c r="H397" i="1" l="1"/>
  <c r="K398" i="1" l="1"/>
  <c r="J398" i="1"/>
  <c r="H398" i="1" l="1"/>
  <c r="K399" i="1" l="1"/>
  <c r="J399" i="1"/>
  <c r="H399" i="1" l="1"/>
  <c r="K400" i="1" l="1"/>
  <c r="J400" i="1"/>
  <c r="H400" i="1" l="1"/>
  <c r="K401" i="1" l="1"/>
  <c r="J401" i="1"/>
  <c r="H401" i="1" l="1"/>
  <c r="K402" i="1" l="1"/>
  <c r="J402" i="1"/>
  <c r="H402" i="1" l="1"/>
  <c r="K403" i="1" l="1"/>
  <c r="J403" i="1"/>
  <c r="H403" i="1" l="1"/>
  <c r="J404" i="1" l="1"/>
  <c r="K404" i="1"/>
  <c r="H404" i="1" l="1"/>
  <c r="K405" i="1" l="1"/>
  <c r="J405" i="1"/>
  <c r="H405" i="1" l="1"/>
  <c r="J406" i="1" l="1"/>
  <c r="K406" i="1"/>
  <c r="H406" i="1" l="1"/>
  <c r="K407" i="1" l="1"/>
  <c r="J407" i="1"/>
  <c r="H407" i="1" l="1"/>
  <c r="J408" i="1" l="1"/>
  <c r="K408" i="1"/>
  <c r="H408" i="1" l="1"/>
  <c r="K409" i="1" l="1"/>
  <c r="J409" i="1"/>
  <c r="H409" i="1" l="1"/>
  <c r="K410" i="1" l="1"/>
  <c r="J410" i="1"/>
  <c r="H410" i="1" l="1"/>
  <c r="J411" i="1" l="1"/>
  <c r="K411" i="1"/>
  <c r="H411" i="1" l="1"/>
  <c r="K412" i="1" l="1"/>
  <c r="J412" i="1"/>
  <c r="H412" i="1" l="1"/>
  <c r="J413" i="1" l="1"/>
  <c r="K413" i="1"/>
  <c r="H413" i="1" l="1"/>
  <c r="K414" i="1" l="1"/>
  <c r="J414" i="1"/>
  <c r="H414" i="1" l="1"/>
  <c r="K415" i="1" l="1"/>
  <c r="J415" i="1"/>
  <c r="H415" i="1" l="1"/>
  <c r="J416" i="1"/>
  <c r="K416" i="1" l="1"/>
  <c r="H416" i="1"/>
  <c r="J417" i="1" l="1"/>
  <c r="K417" i="1"/>
  <c r="H417" i="1" l="1"/>
  <c r="K418" i="1" l="1"/>
  <c r="J418" i="1"/>
  <c r="H418" i="1" l="1"/>
  <c r="K419" i="1" l="1"/>
  <c r="J419" i="1"/>
  <c r="H419" i="1" l="1"/>
  <c r="K420" i="1" l="1"/>
  <c r="J420" i="1"/>
  <c r="H420" i="1" l="1"/>
  <c r="K421" i="1" l="1"/>
  <c r="J421" i="1"/>
  <c r="H421" i="1" l="1"/>
  <c r="K422" i="1" l="1"/>
  <c r="J422" i="1"/>
  <c r="H422" i="1" l="1"/>
  <c r="K423" i="1" l="1"/>
  <c r="J423" i="1"/>
  <c r="H423" i="1" l="1"/>
  <c r="K424" i="1" l="1"/>
  <c r="J424" i="1"/>
  <c r="H424" i="1" l="1"/>
  <c r="K425" i="1" l="1"/>
  <c r="J425" i="1"/>
  <c r="H425" i="1" l="1"/>
  <c r="J426" i="1" l="1"/>
  <c r="K426" i="1"/>
  <c r="H426" i="1" l="1"/>
  <c r="J427" i="1" l="1"/>
  <c r="K427" i="1"/>
  <c r="H427" i="1" l="1"/>
  <c r="K428" i="1" l="1"/>
  <c r="J428" i="1"/>
  <c r="H428" i="1" l="1"/>
  <c r="J429" i="1" l="1"/>
  <c r="K429" i="1"/>
  <c r="H429" i="1" l="1"/>
  <c r="K430" i="1" l="1"/>
  <c r="J430" i="1"/>
  <c r="H430" i="1" l="1"/>
  <c r="K431" i="1" l="1"/>
  <c r="J431" i="1"/>
  <c r="H431" i="1" l="1"/>
  <c r="K432" i="1" l="1"/>
  <c r="J432" i="1"/>
  <c r="H432" i="1" l="1"/>
  <c r="K433" i="1" l="1"/>
  <c r="J433" i="1"/>
  <c r="H433" i="1" l="1"/>
  <c r="K434" i="1" l="1"/>
  <c r="J434" i="1"/>
  <c r="H434" i="1" l="1"/>
  <c r="K435" i="1" l="1"/>
  <c r="J435" i="1"/>
  <c r="H435" i="1" l="1"/>
  <c r="J436" i="1" l="1"/>
  <c r="K436" i="1"/>
  <c r="H436" i="1" l="1"/>
  <c r="K437" i="1" l="1"/>
  <c r="J437" i="1"/>
  <c r="H437" i="1" l="1"/>
  <c r="J438" i="1" s="1"/>
  <c r="K438" i="1" l="1"/>
  <c r="H438" i="1"/>
  <c r="J439" i="1" l="1"/>
  <c r="K439" i="1"/>
  <c r="H439" i="1" l="1"/>
  <c r="K440" i="1" l="1"/>
  <c r="J440" i="1"/>
  <c r="H440" i="1" l="1"/>
  <c r="K441" i="1" l="1"/>
  <c r="J441" i="1"/>
  <c r="H441" i="1" l="1"/>
  <c r="K442" i="1" l="1"/>
  <c r="J442" i="1"/>
  <c r="H442" i="1" l="1"/>
  <c r="K443" i="1" l="1"/>
  <c r="J443" i="1"/>
  <c r="H443" i="1" l="1"/>
  <c r="J444" i="1" l="1"/>
  <c r="K444" i="1"/>
  <c r="H444" i="1" l="1"/>
  <c r="K445" i="1" l="1"/>
  <c r="J445" i="1"/>
  <c r="H445" i="1" l="1"/>
  <c r="J446" i="1" l="1"/>
  <c r="K446" i="1"/>
  <c r="H446" i="1" l="1"/>
  <c r="J447" i="1" l="1"/>
  <c r="K447" i="1"/>
  <c r="H447" i="1" l="1"/>
  <c r="K448" i="1" l="1"/>
  <c r="J448" i="1"/>
  <c r="H448" i="1" l="1"/>
  <c r="K449" i="1" l="1"/>
  <c r="J449" i="1"/>
  <c r="H449" i="1" l="1"/>
  <c r="J450" i="1" l="1"/>
  <c r="K450" i="1"/>
  <c r="H450" i="1" l="1"/>
  <c r="K451" i="1" l="1"/>
  <c r="J451" i="1"/>
  <c r="H451" i="1" l="1"/>
  <c r="J452" i="1" l="1"/>
  <c r="K452" i="1"/>
  <c r="H452" i="1" l="1"/>
  <c r="J453" i="1" l="1"/>
  <c r="K453" i="1"/>
  <c r="H453" i="1" l="1"/>
  <c r="K454" i="1" l="1"/>
  <c r="J454" i="1"/>
  <c r="H454" i="1" l="1"/>
  <c r="K455" i="1" l="1"/>
  <c r="J455" i="1"/>
  <c r="H455" i="1" l="1"/>
  <c r="K456" i="1" l="1"/>
  <c r="J456" i="1"/>
  <c r="H456" i="1" l="1"/>
  <c r="K457" i="1" l="1"/>
  <c r="J457" i="1"/>
  <c r="H457" i="1" l="1"/>
  <c r="J458" i="1"/>
  <c r="K458" i="1" l="1"/>
  <c r="H458" i="1"/>
  <c r="K459" i="1" l="1"/>
  <c r="J459" i="1"/>
  <c r="H459" i="1" l="1"/>
  <c r="K460" i="1" l="1"/>
  <c r="J460" i="1"/>
  <c r="H460" i="1" l="1"/>
  <c r="J461" i="1" l="1"/>
  <c r="K461" i="1"/>
  <c r="H461" i="1" l="1"/>
  <c r="K462" i="1" l="1"/>
  <c r="J462" i="1"/>
  <c r="H462" i="1" l="1"/>
  <c r="J463" i="1" l="1"/>
  <c r="K463" i="1"/>
  <c r="H463" i="1" l="1"/>
  <c r="K464" i="1" l="1"/>
  <c r="J464" i="1"/>
  <c r="H464" i="1" l="1"/>
  <c r="K465" i="1" l="1"/>
  <c r="J465" i="1"/>
  <c r="H465" i="1" l="1"/>
  <c r="K466" i="1" l="1"/>
  <c r="J466" i="1"/>
  <c r="H466" i="1" l="1"/>
  <c r="J467" i="1" l="1"/>
  <c r="K467" i="1"/>
  <c r="H467" i="1" l="1"/>
  <c r="K468" i="1" l="1"/>
  <c r="J468" i="1"/>
  <c r="H468" i="1" l="1"/>
  <c r="K469" i="1" l="1"/>
  <c r="J469" i="1"/>
  <c r="H469" i="1" l="1"/>
  <c r="K470" i="1" l="1"/>
  <c r="J470" i="1"/>
  <c r="H470" i="1" l="1"/>
  <c r="K471" i="1" l="1"/>
  <c r="J471" i="1"/>
  <c r="H471" i="1" l="1"/>
  <c r="K472" i="1" l="1"/>
  <c r="J472" i="1"/>
  <c r="H472" i="1" l="1"/>
  <c r="J473" i="1" l="1"/>
  <c r="K473" i="1"/>
  <c r="H473" i="1" l="1"/>
  <c r="J474" i="1" l="1"/>
  <c r="K474" i="1"/>
  <c r="H474" i="1" l="1"/>
  <c r="J475" i="1" l="1"/>
  <c r="K475" i="1"/>
  <c r="H475" i="1" l="1"/>
  <c r="J476" i="1" l="1"/>
  <c r="K476" i="1"/>
  <c r="H476" i="1" l="1"/>
  <c r="K477" i="1" l="1"/>
  <c r="J477" i="1"/>
  <c r="H477" i="1" l="1"/>
  <c r="J478" i="1" l="1"/>
  <c r="K478" i="1"/>
  <c r="H478" i="1" l="1"/>
  <c r="K479" i="1" l="1"/>
  <c r="J479" i="1"/>
  <c r="H479" i="1" l="1"/>
  <c r="J480" i="1" l="1"/>
  <c r="K480" i="1"/>
  <c r="H480" i="1" l="1"/>
  <c r="J481" i="1" l="1"/>
  <c r="K481" i="1"/>
  <c r="H481" i="1" l="1"/>
  <c r="J482" i="1" l="1"/>
  <c r="K482" i="1"/>
  <c r="H482" i="1" l="1"/>
  <c r="J483" i="1" l="1"/>
  <c r="K483" i="1"/>
  <c r="H483" i="1" l="1"/>
  <c r="K484" i="1" l="1"/>
  <c r="J484" i="1"/>
  <c r="H484" i="1" l="1"/>
  <c r="J485" i="1" l="1"/>
  <c r="K485" i="1"/>
  <c r="H485" i="1" l="1"/>
  <c r="J486" i="1"/>
  <c r="K486" i="1" l="1"/>
  <c r="H486" i="1"/>
  <c r="K487" i="1" l="1"/>
  <c r="J487" i="1"/>
  <c r="H487" i="1" l="1"/>
  <c r="K488" i="1" l="1"/>
  <c r="J488" i="1"/>
  <c r="H488" i="1" l="1"/>
  <c r="J489" i="1" l="1"/>
  <c r="K489" i="1"/>
  <c r="H489" i="1" l="1"/>
  <c r="K490" i="1" l="1"/>
  <c r="J490" i="1"/>
  <c r="H490" i="1" l="1"/>
  <c r="K491" i="1" l="1"/>
  <c r="J491" i="1"/>
  <c r="H491" i="1" l="1"/>
  <c r="K492" i="1" l="1"/>
  <c r="J492" i="1"/>
  <c r="H492" i="1" l="1"/>
  <c r="K493" i="1" l="1"/>
  <c r="J493" i="1"/>
  <c r="H493" i="1" l="1"/>
  <c r="J494" i="1" l="1"/>
  <c r="K494" i="1"/>
  <c r="H494" i="1" l="1"/>
  <c r="K495" i="1" l="1"/>
  <c r="J495" i="1"/>
  <c r="H495" i="1" l="1"/>
  <c r="K496" i="1" l="1"/>
  <c r="J496" i="1"/>
  <c r="H496" i="1" l="1"/>
  <c r="K497" i="1" l="1"/>
  <c r="J497" i="1"/>
  <c r="H497" i="1" l="1"/>
  <c r="J498" i="1" l="1"/>
  <c r="K498" i="1"/>
  <c r="H498" i="1" l="1"/>
  <c r="K499" i="1" l="1"/>
  <c r="J499" i="1"/>
  <c r="H499" i="1" l="1"/>
  <c r="K500" i="1" l="1"/>
  <c r="J500" i="1"/>
  <c r="H500" i="1" l="1"/>
  <c r="K501" i="1" l="1"/>
  <c r="J501" i="1"/>
  <c r="H501" i="1" l="1"/>
  <c r="K502" i="1" l="1"/>
  <c r="J502" i="1"/>
  <c r="H502" i="1" l="1"/>
  <c r="K503" i="1" l="1"/>
  <c r="J503" i="1"/>
  <c r="H503" i="1" l="1"/>
  <c r="K504" i="1" l="1"/>
  <c r="J504" i="1"/>
  <c r="H504" i="1" l="1"/>
  <c r="J505" i="1" l="1"/>
  <c r="K505" i="1"/>
  <c r="H505" i="1" l="1"/>
  <c r="K506" i="1" l="1"/>
  <c r="J506" i="1"/>
  <c r="H506" i="1" l="1"/>
  <c r="K507" i="1" l="1"/>
  <c r="J507" i="1"/>
  <c r="H507" i="1" l="1"/>
  <c r="K508" i="1" l="1"/>
  <c r="J508" i="1"/>
  <c r="H508" i="1" l="1"/>
  <c r="K509" i="1" l="1"/>
  <c r="J509" i="1"/>
  <c r="H509" i="1" l="1"/>
  <c r="K510" i="1" l="1"/>
  <c r="J510" i="1"/>
  <c r="H510" i="1" l="1"/>
  <c r="K511" i="1" l="1"/>
  <c r="J511" i="1"/>
  <c r="H5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<sst xmlns="http://schemas.openxmlformats.org/spreadsheetml/2006/main" count="31" uniqueCount="31">
  <si>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r>
      <t>h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//高さ</t>
    </r>
    <rPh sb="7" eb="8">
      <t>タカ</t>
    </rPh>
    <phoneticPr fontId="1"/>
  </si>
  <si>
    <t>定数</t>
    <rPh sb="0" eb="2">
      <t>テイスウ</t>
    </rPh>
    <phoneticPr fontId="1"/>
  </si>
  <si>
    <t>計算</t>
    <rPh sb="0" eb="2">
      <t>ケイサン</t>
    </rPh>
    <phoneticPr fontId="1"/>
  </si>
  <si>
    <t>番号</t>
    <rPh sb="0" eb="2">
      <t>バンゴウ</t>
    </rPh>
    <phoneticPr fontId="1"/>
  </si>
  <si>
    <r>
      <t>r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//ミラーの半径</t>
    </r>
    <rPh sb="11" eb="13">
      <t>ハンケイ</t>
    </rPh>
    <phoneticPr fontId="1"/>
  </si>
  <si>
    <t>点Aのx座標p[mm]</t>
    <rPh sb="0" eb="1">
      <t>テン</t>
    </rPh>
    <rPh sb="4" eb="6">
      <t>ザヒョウ</t>
    </rPh>
    <phoneticPr fontId="1"/>
  </si>
  <si>
    <t>点Aのy座標q[mm]</t>
    <phoneticPr fontId="1"/>
  </si>
  <si>
    <t>n      //n回計算する</t>
    <rPh sb="10" eb="11">
      <t>カイ</t>
    </rPh>
    <rPh sb="11" eb="13">
      <t>ケイサン</t>
    </rPh>
    <phoneticPr fontId="1"/>
  </si>
  <si>
    <t>反射板の傾きc[度]</t>
    <rPh sb="0" eb="3">
      <t>ハンシャバン</t>
    </rPh>
    <rPh sb="4" eb="5">
      <t>カタム</t>
    </rPh>
    <rPh sb="8" eb="9">
      <t>ド</t>
    </rPh>
    <phoneticPr fontId="1"/>
  </si>
  <si>
    <t>距離d[mm]</t>
    <rPh sb="0" eb="2">
      <t>キョリ</t>
    </rPh>
    <phoneticPr fontId="1"/>
  </si>
  <si>
    <t>[mm] (pの初期値)</t>
    <rPh sb="8" eb="10">
      <t>ショキ</t>
    </rPh>
    <rPh sb="10" eb="11">
      <t>アタイ</t>
    </rPh>
    <phoneticPr fontId="1"/>
  </si>
  <si>
    <t>[mm] (qの初期値)</t>
    <rPh sb="8" eb="10">
      <t>ショキ</t>
    </rPh>
    <rPh sb="10" eb="11">
      <t>アタイ</t>
    </rPh>
    <phoneticPr fontId="1"/>
  </si>
  <si>
    <t>[度] (90[度]推奨)</t>
    <rPh sb="1" eb="2">
      <t>ド</t>
    </rPh>
    <rPh sb="8" eb="9">
      <t>ド</t>
    </rPh>
    <rPh sb="10" eb="12">
      <t>スイショウ</t>
    </rPh>
    <phoneticPr fontId="1"/>
  </si>
  <si>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 反射光の最大角</t>
    </r>
    <rPh sb="8" eb="11">
      <t>ハンシャコウ</t>
    </rPh>
    <rPh sb="12" eb="15">
      <t>サイダイカク</t>
    </rPh>
    <phoneticPr fontId="1"/>
  </si>
  <si>
    <r>
      <t>b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//入射光の最大角</t>
    </r>
    <rPh sb="7" eb="10">
      <t>ニュウシャコウ</t>
    </rPh>
    <phoneticPr fontId="1"/>
  </si>
  <si>
    <t>反射光の角度a[度]</t>
    <rPh sb="0" eb="3">
      <t>ハンシャコウ</t>
    </rPh>
    <rPh sb="4" eb="6">
      <t>カクド</t>
    </rPh>
    <rPh sb="8" eb="9">
      <t>ド</t>
    </rPh>
    <phoneticPr fontId="1"/>
  </si>
  <si>
    <t>入射光の角度b[度]</t>
    <rPh sb="0" eb="3">
      <t>ニュウシャコウ</t>
    </rPh>
    <rPh sb="4" eb="6">
      <t>カクド</t>
    </rPh>
    <rPh sb="8" eb="9">
      <t>ド</t>
    </rPh>
    <phoneticPr fontId="1"/>
  </si>
  <si>
    <t>[度] (カメラに入ってくる光のこと)</t>
    <rPh sb="1" eb="2">
      <t>ド</t>
    </rPh>
    <rPh sb="9" eb="10">
      <t>ハイ</t>
    </rPh>
    <rPh sb="14" eb="15">
      <t>ヒカリ</t>
    </rPh>
    <phoneticPr fontId="1"/>
  </si>
  <si>
    <t>[回] (最大500[回])</t>
    <rPh sb="1" eb="2">
      <t>カイ</t>
    </rPh>
    <rPh sb="5" eb="7">
      <t>サイダイ</t>
    </rPh>
    <rPh sb="11" eb="12">
      <t>カイ</t>
    </rPh>
    <phoneticPr fontId="1"/>
  </si>
  <si>
    <t>コピー用</t>
    <rPh sb="3" eb="4">
      <t>ヨウ</t>
    </rPh>
    <phoneticPr fontId="1"/>
  </si>
  <si>
    <t>x[cm]</t>
    <phoneticPr fontId="1"/>
  </si>
  <si>
    <t>y[cm]</t>
    <phoneticPr fontId="1"/>
  </si>
  <si>
    <t>z[cm]</t>
    <phoneticPr fontId="1"/>
  </si>
  <si>
    <t>b=f(a)の次数</t>
    <rPh sb="7" eb="9">
      <t>ジスウ</t>
    </rPh>
    <phoneticPr fontId="1"/>
  </si>
  <si>
    <t>[なし] (偶数を入力)</t>
    <rPh sb="6" eb="8">
      <t>グウスウ</t>
    </rPh>
    <rPh sb="9" eb="11">
      <t>ニュウリョク</t>
    </rPh>
    <phoneticPr fontId="1"/>
  </si>
  <si>
    <t>sin(a)//画面上の位置</t>
    <rPh sb="8" eb="10">
      <t>ガメン</t>
    </rPh>
    <rPh sb="10" eb="11">
      <t>ジョウ</t>
    </rPh>
    <rPh sb="12" eb="14">
      <t>イチ</t>
    </rPh>
    <phoneticPr fontId="1"/>
  </si>
  <si>
    <t>調整係数k</t>
    <rPh sb="0" eb="4">
      <t>チョウセイケイスウ</t>
    </rPh>
    <phoneticPr fontId="1"/>
  </si>
  <si>
    <t>aとbの関係</t>
    <rPh sb="4" eb="6">
      <t>カンケイ</t>
    </rPh>
    <phoneticPr fontId="1"/>
  </si>
  <si>
    <t>~</t>
    <phoneticPr fontId="1"/>
  </si>
  <si>
    <t>kの範囲 //min~max</t>
    <rPh sb="2" eb="4">
      <t>ハンイ</t>
    </rPh>
    <phoneticPr fontId="1"/>
  </si>
  <si>
    <t>//= IF(A12="", NA(), MEDIAN(90, 180, $F$3*B12^2 - ((90+$F$3*$B$3^2)/$B$3)*B12 + 180))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</si>
</sst>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Main!$F$12:$F$511</c:f>
              <c:numCache>
                <c:formatCode>General</c:formatCode>
                <c:ptCount val="500"/>
                <c:pt idx="0">
                  <c:v>23</c:v>
                </c:pt>
                <c:pt idx="1">
                  <c:v>22.920279040790408</c:v>
                </c:pt>
                <c:pt idx="2">
                  <c:v>22.840776099730491</c:v>
                </c:pt>
                <c:pt idx="3">
                  <c:v>22.76149091752621</c:v>
                </c:pt>
                <c:pt idx="4">
                  <c:v>22.682423228505854</c:v>
                </c:pt>
                <c:pt idx="5">
                  <c:v>22.60357276067792</c:v>
                </c:pt>
                <c:pt idx="6">
                  <c:v>22.524939235789308</c:v>
                </c:pt>
                <c:pt idx="7">
                  <c:v>22.446522369383718</c:v>
                </c:pt>
                <c:pt idx="8">
                  <c:v>22.368321870860342</c:v>
                </c:pt>
                <c:pt idx="9">
                  <c:v>22.290337443532685</c:v>
                </c:pt>
                <c:pt idx="10">
                  <c:v>22.212568784687701</c:v>
                </c:pt>
                <c:pt idx="11">
                  <c:v>22.135015585645043</c:v>
                </c:pt>
                <c:pt idx="12">
                  <c:v>22.057677531816577</c:v>
                </c:pt>
                <c:pt idx="13">
                  <c:v>21.980554302765995</c:v>
                </c:pt>
                <c:pt idx="14">
                  <c:v>21.903645572268694</c:v>
                </c:pt>
                <c:pt idx="15">
                  <c:v>21.826951008371665</c:v>
                </c:pt>
                <c:pt idx="16">
                  <c:v>21.750470273453704</c:v>
                </c:pt>
                <c:pt idx="17">
                  <c:v>21.674203024285692</c:v>
                </c:pt>
                <c:pt idx="18">
                  <c:v>21.59814891209081</c:v>
                </c:pt>
                <c:pt idx="19">
                  <c:v>21.52230758260529</c:v>
                </c:pt>
                <c:pt idx="20">
                  <c:v>21.446678676138756</c:v>
                </c:pt>
                <c:pt idx="21">
                  <c:v>21.371261827635095</c:v>
                </c:pt>
                <c:pt idx="22">
                  <c:v>21.296056666733161</c:v>
                </c:pt>
                <c:pt idx="23">
                  <c:v>21.221062817827619</c:v>
                </c:pt>
                <c:pt idx="24">
                  <c:v>21.146279900129841</c:v>
                </c:pt>
                <c:pt idx="25">
                  <c:v>21.07170752772895</c:v>
                </c:pt>
                <c:pt idx="26">
                  <c:v>20.99734530965263</c:v>
                </c:pt>
                <c:pt idx="27">
                  <c:v>20.923192849928331</c:v>
                </c:pt>
                <c:pt idx="28">
                  <c:v>20.849249747644244</c:v>
                </c:pt>
                <c:pt idx="29">
                  <c:v>20.775515597010337</c:v>
                </c:pt>
                <c:pt idx="30">
                  <c:v>20.701989987419445</c:v>
                </c:pt>
                <c:pt idx="31">
                  <c:v>20.628672503508309</c:v>
                </c:pt>
                <c:pt idx="32">
                  <c:v>20.5555627252186</c:v>
                </c:pt>
                <c:pt idx="33">
                  <c:v>20.48266022785791</c:v>
                </c:pt>
                <c:pt idx="34">
                  <c:v>20.409964582160743</c:v>
                </c:pt>
                <c:pt idx="35">
                  <c:v>20.337475354349436</c:v>
                </c:pt>
                <c:pt idx="36">
                  <c:v>20.26519210619492</c:v>
                </c:pt>
                <c:pt idx="37">
                  <c:v>20.193114395077693</c:v>
                </c:pt>
                <c:pt idx="38">
                  <c:v>20.121241774048389</c:v>
                </c:pt>
                <c:pt idx="39">
                  <c:v>20.049573791888481</c:v>
                </c:pt>
                <c:pt idx="40">
                  <c:v>19.978109993170829</c:v>
                </c:pt>
                <c:pt idx="41">
                  <c:v>19.906849918320063</c:v>
                </c:pt>
                <c:pt idx="42">
                  <c:v>19.835793103673026</c:v>
                </c:pt>
                <c:pt idx="43">
                  <c:v>19.764939081538916</c:v>
                </c:pt>
                <c:pt idx="44">
                  <c:v>19.694287380259393</c:v>
                </c:pt>
                <c:pt idx="45">
                  <c:v>19.623837524268591</c:v>
                </c:pt>
                <c:pt idx="46">
                  <c:v>19.553589034152818</c:v>
                </c:pt>
                <c:pt idx="47">
                  <c:v>19.483541426710357</c:v>
                </c:pt>
                <c:pt idx="48">
                  <c:v>19.413694215010885</c:v>
                </c:pt>
                <c:pt idx="49">
                  <c:v>19.34404690845486</c:v>
                </c:pt>
                <c:pt idx="50">
                  <c:v>19.274599012832731</c:v>
                </c:pt>
                <c:pt idx="51">
                  <c:v>19.205350030383791</c:v>
                </c:pt>
                <c:pt idx="52">
                  <c:v>19.136299459855127</c:v>
                </c:pt>
                <c:pt idx="53">
                  <c:v>19.067446796560173</c:v>
                </c:pt>
                <c:pt idx="54">
                  <c:v>18.998791532437107</c:v>
                </c:pt>
                <c:pt idx="55">
                  <c:v>18.930333156107057</c:v>
                </c:pt>
                <c:pt idx="56">
                  <c:v>18.862071152932067</c:v>
                </c:pt>
                <c:pt idx="57">
                  <c:v>18.794005005072869</c:v>
                </c:pt>
                <c:pt idx="58">
                  <c:v>18.726134191546471</c:v>
                </c:pt>
                <c:pt idx="59">
                  <c:v>18.658458188283319</c:v>
                </c:pt>
                <c:pt idx="60">
                  <c:v>18.590976468184472</c:v>
                </c:pt>
                <c:pt idx="61">
                  <c:v>18.523688501178302</c:v>
                </c:pt>
                <c:pt idx="62">
                  <c:v>18.456593754277119</c:v>
                </c:pt>
                <c:pt idx="63">
                  <c:v>18.389691691633463</c:v>
                </c:pt>
                <c:pt idx="64">
                  <c:v>18.322981774596052</c:v>
                </c:pt>
                <c:pt idx="65">
                  <c:v>18.256463461765598</c:v>
                </c:pt>
                <c:pt idx="66">
                  <c:v>18.190136209050223</c:v>
                </c:pt>
                <c:pt idx="67">
                  <c:v>18.123999469720712</c:v>
                </c:pt>
                <c:pt idx="68">
                  <c:v>18.058052694465371</c:v>
                </c:pt>
                <c:pt idx="69">
                  <c:v>17.99229533144463</c:v>
                </c:pt>
                <c:pt idx="70">
                  <c:v>17.926726826345366</c:v>
                </c:pt>
                <c:pt idx="71">
                  <c:v>17.861346622434951</c:v>
                </c:pt>
                <c:pt idx="72">
                  <c:v>17.796154160614819</c:v>
                </c:pt>
                <c:pt idx="73">
                  <c:v>17.731148879473984</c:v>
                </c:pt>
                <c:pt idx="74">
                  <c:v>17.666330215342043</c:v>
                </c:pt>
                <c:pt idx="75">
                  <c:v>17.601697602341897</c:v>
                </c:pt>
                <c:pt idx="76">
                  <c:v>17.537250472442278</c:v>
                </c:pt>
                <c:pt idx="77">
                  <c:v>17.472988255509641</c:v>
                </c:pt>
                <c:pt idx="78">
                  <c:v>17.408910379360098</c:v>
                </c:pt>
                <c:pt idx="79">
                  <c:v>17.345016269810738</c:v>
                </c:pt>
                <c:pt idx="80">
                  <c:v>17.281305350730733</c:v>
                </c:pt>
                <c:pt idx="81">
                  <c:v>17.217777044091992</c:v>
                </c:pt>
                <c:pt idx="82">
                  <c:v>17.154430770019626</c:v>
                </c:pt>
                <c:pt idx="83">
                  <c:v>17.091265946841919</c:v>
                </c:pt>
                <c:pt idx="84">
                  <c:v>17.028281991139973</c:v>
                </c:pt>
                <c:pt idx="85">
                  <c:v>16.965478317797078</c:v>
                </c:pt>
                <c:pt idx="86">
                  <c:v>16.902854340047572</c:v>
                </c:pt>
                <c:pt idx="87">
                  <c:v>16.840409469525422</c:v>
                </c:pt>
                <c:pt idx="88">
                  <c:v>16.778143116312485</c:v>
                </c:pt>
                <c:pt idx="89">
                  <c:v>16.716054688986318</c:v>
                </c:pt>
                <c:pt idx="90">
                  <c:v>16.654143594667605</c:v>
                </c:pt>
                <c:pt idx="91">
                  <c:v>16.592409239067255</c:v>
                </c:pt>
                <c:pt idx="92">
                  <c:v>16.530851026533085</c:v>
                </c:pt>
                <c:pt idx="93">
                  <c:v>16.46946836009618</c:v>
                </c:pt>
                <c:pt idx="94">
                  <c:v>16.408260641516797</c:v>
                </c:pt>
                <c:pt idx="95">
                  <c:v>16.347227271329928</c:v>
                </c:pt>
                <c:pt idx="96">
                  <c:v>16.286367648890412</c:v>
                </c:pt>
                <c:pt idx="97">
                  <c:v>16.225681172417769</c:v>
                </c:pt>
                <c:pt idx="98">
                  <c:v>16.165167239040571</c:v>
                </c:pt>
                <c:pt idx="99">
                  <c:v>16.104825244840374</c:v>
                </c:pt>
                <c:pt idx="100">
                  <c:v>16.044654584895348</c:v>
                </c:pt>
                <c:pt idx="101">
                  <c:v>15.984654653323462</c:v>
                </c:pt>
                <c:pt idx="102">
                  <c:v>15.924824843325267</c:v>
                </c:pt>
                <c:pt idx="103">
                  <c:v>15.865164547226307</c:v>
                </c:pt>
                <c:pt idx="104">
                  <c:v>15.805673156519093</c:v>
                </c:pt>
                <c:pt idx="105">
                  <c:v>15.746350061904717</c:v>
                </c:pt>
                <c:pt idx="106">
                  <c:v>15.687194653334037</c:v>
                </c:pt>
                <c:pt idx="107">
                  <c:v>15.628206320048418</c:v>
                </c:pt>
                <c:pt idx="108">
                  <c:v>15.569384450620195</c:v>
                </c:pt>
                <c:pt idx="109">
                  <c:v>15.510728432992577</c:v>
                </c:pt>
                <c:pt idx="110">
                  <c:v>15.452237654519248</c:v>
                </c:pt>
                <c:pt idx="111">
                  <c:v>15.393911502003574</c:v>
                </c:pt>
                <c:pt idx="112">
                  <c:v>15.335749361737236</c:v>
                </c:pt>
                <c:pt idx="113">
                  <c:v>15.277750619538715</c:v>
                </c:pt>
                <c:pt idx="114">
                  <c:v>15.219914660791147</c:v>
                </c:pt>
                <c:pt idx="115">
                  <c:v>15.162240870479941</c:v>
                </c:pt>
                <c:pt idx="116">
                  <c:v>15.10472863322982</c:v>
                </c:pt>
                <c:pt idx="117">
                  <c:v>15.047377333341553</c:v>
                </c:pt>
                <c:pt idx="118">
                  <c:v>14.990186354828326</c:v>
                </c:pt>
                <c:pt idx="119">
                  <c:v>14.933155081451607</c:v>
                </c:pt>
                <c:pt idx="120">
                  <c:v>14.876282896756642</c:v>
                </c:pt>
                <c:pt idx="121">
                  <c:v>14.819569184107566</c:v>
                </c:pt>
                <c:pt idx="122">
                  <c:v>14.76301332672203</c:v>
                </c:pt>
                <c:pt idx="123">
                  <c:v>14.706614707705549</c:v>
                </c:pt>
                <c:pt idx="124">
                  <c:v>14.650372710085371</c:v>
                </c:pt>
                <c:pt idx="125">
                  <c:v>14.594286716843873</c:v>
                </c:pt>
                <c:pt idx="126">
                  <c:v>14.538356110951698</c:v>
                </c:pt>
                <c:pt idx="127">
                  <c:v>14.482580275400315</c:v>
                </c:pt>
                <c:pt idx="128">
                  <c:v>14.42695859323444</c:v>
                </c:pt>
                <c:pt idx="129">
                  <c:v>14.371490447583716</c:v>
                </c:pt>
                <c:pt idx="130">
                  <c:v>14.316175221694262</c:v>
                </c:pt>
                <c:pt idx="131">
                  <c:v>14.261012298959699</c:v>
                </c:pt>
                <c:pt idx="132">
                  <c:v>14.206001062951774</c:v>
                </c:pt>
                <c:pt idx="133">
                  <c:v>14.151140897450672</c:v>
                </c:pt>
                <c:pt idx="134">
                  <c:v>14.096431186474824</c:v>
                </c:pt>
                <c:pt idx="135">
                  <c:v>14.041871314310395</c:v>
                </c:pt>
                <c:pt idx="136">
                  <c:v>13.98746066554031</c:v>
                </c:pt>
                <c:pt idx="137">
                  <c:v>13.933198625073013</c:v>
                </c:pt>
                <c:pt idx="138">
                  <c:v>13.879084578170611</c:v>
                </c:pt>
                <c:pt idx="139">
                  <c:v>13.825117910476886</c:v>
                </c:pt>
                <c:pt idx="140">
                  <c:v>13.771298008044747</c:v>
                </c:pt>
                <c:pt idx="141">
                  <c:v>13.717624257363326</c:v>
                </c:pt>
                <c:pt idx="142">
                  <c:v>13.664096045384781</c:v>
                </c:pt>
                <c:pt idx="143">
                  <c:v>13.610712759550502</c:v>
                </c:pt>
                <c:pt idx="144">
                  <c:v>13.557473787817214</c:v>
                </c:pt>
                <c:pt idx="145">
                  <c:v>13.504378518682472</c:v>
                </c:pt>
                <c:pt idx="146">
                  <c:v>13.451426341209904</c:v>
                </c:pt>
                <c:pt idx="147">
                  <c:v>13.398616645053968</c:v>
                </c:pt>
                <c:pt idx="148">
                  <c:v>13.345948820484482</c:v>
                </c:pt>
                <c:pt idx="149">
                  <c:v>13.29342225841064</c:v>
                </c:pt>
                <c:pt idx="150">
                  <c:v>13.241036350404768</c:v>
                </c:pt>
                <c:pt idx="151">
                  <c:v>13.188790488725585</c:v>
                </c:pt>
                <c:pt idx="152">
                  <c:v>13.136684066341216</c:v>
                </c:pt>
                <c:pt idx="153">
                  <c:v>13.084716476951746</c:v>
                </c:pt>
                <c:pt idx="154">
                  <c:v>13.032887115011508</c:v>
                </c:pt>
                <c:pt idx="155">
                  <c:v>12.981195375750957</c:v>
                </c:pt>
                <c:pt idx="156">
                  <c:v>12.929640655198106</c:v>
                </c:pt>
                <c:pt idx="157">
                  <c:v>12.878222350199767</c:v>
                </c:pt>
                <c:pt idx="158">
                  <c:v>12.82693985844227</c:v>
                </c:pt>
                <c:pt idx="159">
                  <c:v>12.775792578471993</c:v>
                </c:pt>
                <c:pt idx="160">
                  <c:v>12.724779909715409</c:v>
                </c:pt>
                <c:pt idx="161">
                  <c:v>12.673901252498837</c:v>
                </c:pt>
                <c:pt idx="162">
                  <c:v>12.623156008067861</c:v>
                </c:pt>
                <c:pt idx="163">
                  <c:v>12.572543578606329</c:v>
                </c:pt>
                <c:pt idx="164">
                  <c:v>12.522063367255184</c:v>
                </c:pt>
                <c:pt idx="165">
                  <c:v>12.471714778130721</c:v>
                </c:pt>
                <c:pt idx="166">
                  <c:v>12.421497216342686</c:v>
                </c:pt>
                <c:pt idx="167">
                  <c:v>12.371410088011963</c:v>
                </c:pt>
                <c:pt idx="168">
                  <c:v>12.321452800287959</c:v>
                </c:pt>
                <c:pt idx="169">
                  <c:v>12.271624761365638</c:v>
                </c:pt>
                <c:pt idx="170">
                  <c:v>12.221925380502231</c:v>
                </c:pt>
                <c:pt idx="171">
                  <c:v>12.172354068033638</c:v>
                </c:pt>
                <c:pt idx="172">
                  <c:v>12.122910235390497</c:v>
                </c:pt>
                <c:pt idx="173">
                  <c:v>12.0735932951139</c:v>
                </c:pt>
                <c:pt idx="174">
                  <c:v>12.024402660870878</c:v>
                </c:pt>
                <c:pt idx="175">
                  <c:v>11.975337747469478</c:v>
                </c:pt>
                <c:pt idx="176">
                  <c:v>11.92639797087357</c:v>
                </c:pt>
                <c:pt idx="177">
                  <c:v>11.877582748217389</c:v>
                </c:pt>
                <c:pt idx="178">
                  <c:v>11.828891497819622</c:v>
                </c:pt>
                <c:pt idx="179">
                  <c:v>11.780323639197395</c:v>
                </c:pt>
                <c:pt idx="180">
                  <c:v>11.731878593079784</c:v>
                </c:pt>
                <c:pt idx="181">
                  <c:v>11.683555781421155</c:v>
                </c:pt>
                <c:pt idx="182">
                  <c:v>11.635354627414101</c:v>
                </c:pt>
                <c:pt idx="183">
                  <c:v>11.587274555502113</c:v>
                </c:pt>
                <c:pt idx="184">
                  <c:v>11.53931499139205</c:v>
                </c:pt>
                <c:pt idx="185">
                  <c:v>11.491475362066204</c:v>
                </c:pt>
                <c:pt idx="186">
                  <c:v>11.443755095794117</c:v>
                </c:pt>
                <c:pt idx="187">
                  <c:v>11.396153622144155</c:v>
                </c:pt>
                <c:pt idx="188">
                  <c:v>11.348670371994707</c:v>
                </c:pt>
                <c:pt idx="189">
                  <c:v>11.301304777545216</c:v>
                </c:pt>
                <c:pt idx="190">
                  <c:v>11.254056272326894</c:v>
                </c:pt>
                <c:pt idx="191">
                  <c:v>11.206924291213092</c:v>
                </c:pt>
                <c:pt idx="192">
                  <c:v>11.159908270429511</c:v>
                </c:pt>
                <c:pt idx="193">
                  <c:v>11.113007647564034</c:v>
                </c:pt>
                <c:pt idx="194">
                  <c:v>11.06622186157645</c:v>
                </c:pt>
                <c:pt idx="195">
                  <c:v>11.019550352807727</c:v>
                </c:pt>
                <c:pt idx="196">
                  <c:v>10.972992562989143</c:v>
                </c:pt>
                <c:pt idx="197">
                  <c:v>10.926547935251143</c:v>
                </c:pt>
                <c:pt idx="198">
                  <c:v>10.880215914131927</c:v>
                </c:pt>
                <c:pt idx="199">
                  <c:v>10.833995945585752</c:v>
                </c:pt>
                <c:pt idx="200">
                  <c:v>10.787887476991068</c:v>
                </c:pt>
                <c:pt idx="201">
                  <c:v>10.741889957158346</c:v>
                </c:pt>
                <c:pt idx="202">
                  <c:v>10.696002836337636</c:v>
                </c:pt>
                <c:pt idx="203">
                  <c:v>10.650225566226002</c:v>
                </c:pt>
                <c:pt idx="204">
                  <c:v>10.60455759997452</c:v>
                </c:pt>
                <c:pt idx="205">
                  <c:v>10.558998392195257</c:v>
                </c:pt>
                <c:pt idx="206">
                  <c:v>10.513547398967861</c:v>
                </c:pt>
                <c:pt idx="207">
                  <c:v>10.468204077846016</c:v>
                </c:pt>
                <c:pt idx="208">
                  <c:v>10.422967887863569</c:v>
                </c:pt>
                <c:pt idx="209">
                  <c:v>10.377838289540495</c:v>
                </c:pt>
                <c:pt idx="210">
                  <c:v>10.332814744888669</c:v>
                </c:pt>
                <c:pt idx="211">
                  <c:v>10.287896717417338</c:v>
                </c:pt>
                <c:pt idx="212">
                  <c:v>10.243083672138425</c:v>
                </c:pt>
                <c:pt idx="213">
                  <c:v>10.19837507557161</c:v>
                </c:pt>
                <c:pt idx="214">
                  <c:v>10.153770395749129</c:v>
                </c:pt>
                <c:pt idx="215">
                  <c:v>10.109269102220537</c:v>
                </c:pt>
                <c:pt idx="216">
                  <c:v>10.064870666057042</c:v>
                </c:pt>
                <c:pt idx="217">
                  <c:v>10.020574559855765</c:v>
                </c:pt>
                <c:pt idx="218">
                  <c:v>9.9763802577438021</c:v>
                </c:pt>
                <c:pt idx="219">
                  <c:v>9.9322872353819811</c:v>
                </c:pt>
                <c:pt idx="220">
                  <c:v>9.8882949699685483</c:v>
                </c:pt>
                <c:pt idx="221">
                  <c:v>9.8444029402425937</c:v>
                </c:pt>
                <c:pt idx="222">
                  <c:v>9.8006106264872379</c:v>
                </c:pt>
                <c:pt idx="223">
                  <c:v>9.7569175105327162</c:v>
                </c:pt>
                <c:pt idx="224">
                  <c:v>9.7133230757591846</c:v>
                </c:pt>
                <c:pt idx="225">
                  <c:v>9.6698268070994438</c:v>
                </c:pt>
                <c:pt idx="226">
                  <c:v>9.6264281910413718</c:v>
                </c:pt>
                <c:pt idx="227">
                  <c:v>9.5831267156302236</c:v>
                </c:pt>
                <c:pt idx="228">
                  <c:v>9.5399218704707902</c:v>
                </c:pt>
                <c:pt idx="229">
                  <c:v>9.496813146729238</c:v>
                </c:pt>
                <c:pt idx="230">
                  <c:v>9.45380003713497</c:v>
                </c:pt>
                <c:pt idx="231">
                  <c:v>9.4108820359821568</c:v>
                </c:pt>
                <c:pt idx="232">
                  <c:v>9.3680586391311582</c:v>
                </c:pt>
                <c:pt idx="233">
                  <c:v>9.3253293440097789</c:v>
                </c:pt>
                <c:pt idx="234">
                  <c:v>9.2826936496143322</c:v>
                </c:pt>
                <c:pt idx="235">
                  <c:v>9.2401510565105625</c:v>
                </c:pt>
                <c:pt idx="236">
                  <c:v>9.1977010668343855</c:v>
                </c:pt>
                <c:pt idx="237">
                  <c:v>9.1553431842924837</c:v>
                </c:pt>
                <c:pt idx="238">
                  <c:v>9.1130769141627432</c:v>
                </c:pt>
                <c:pt idx="239">
                  <c:v>9.0709017632944864</c:v>
                </c:pt>
                <c:pt idx="240">
                  <c:v>9.0288172401086548</c:v>
                </c:pt>
                <c:pt idx="241">
                  <c:v>8.9868228545977207</c:v>
                </c:pt>
                <c:pt idx="242">
                  <c:v>8.9449181183255568</c:v>
                </c:pt>
                <c:pt idx="243">
                  <c:v>8.9031025444270515</c:v>
                </c:pt>
                <c:pt idx="244">
                  <c:v>8.8613756476076393</c:v>
                </c:pt>
                <c:pt idx="245">
                  <c:v>8.8197369441427185</c:v>
                </c:pt>
                <c:pt idx="246">
                  <c:v>8.7781859518768446</c:v>
                </c:pt>
                <c:pt idx="247">
                  <c:v>8.7367221902228724</c:v>
                </c:pt>
                <c:pt idx="248">
                  <c:v>8.6953451801608583</c:v>
                </c:pt>
                <c:pt idx="249">
                  <c:v>8.6540544442369267</c:v>
                </c:pt>
                <c:pt idx="250">
                  <c:v>8.6128495065619113</c:v>
                </c:pt>
                <c:pt idx="251">
                  <c:v>8.5717298928099694</c:v>
                </c:pt>
                <c:pt idx="252">
                  <c:v>8.5306951302169676</c:v>
                </c:pt>
                <c:pt idx="253">
                  <c:v>8.4897447475787935</c:v>
                </c:pt>
                <c:pt idx="254">
                  <c:v>8.4488782752494807</c:v>
                </c:pt>
                <c:pt idx="255">
                  <c:v>8.40809524513935</c:v>
                </c:pt>
                <c:pt idx="256">
                  <c:v>8.3673951907128323</c:v>
                </c:pt>
                <c:pt idx="257">
                  <c:v>8.3267776469863186</c:v>
                </c:pt>
                <c:pt idx="258">
                  <c:v>8.2862421505258368</c:v>
                </c:pt>
                <c:pt idx="259">
                  <c:v>8.2457882394445789</c:v>
                </c:pt>
                <c:pt idx="260">
                  <c:v>8.2054154534004251</c:v>
                </c:pt>
                <c:pt idx="261">
                  <c:v>8.1651233335931934</c:v>
                </c:pt>
                <c:pt idx="262">
                  <c:v>8.1249114227619099</c:v>
                </c:pt>
                <c:pt idx="263">
                  <c:v>8.084779265181897</c:v>
                </c:pt>
                <c:pt idx="264">
                  <c:v>8.0447264066617965</c:v>
                </c:pt>
                <c:pt idx="265">
                  <c:v>8.0047523945404109</c:v>
                </c:pt>
                <c:pt idx="266">
                  <c:v>7.9648567776835604</c:v>
                </c:pt>
                <c:pt idx="267">
                  <c:v>7.9250391064807051</c:v>
                </c:pt>
                <c:pt idx="268">
                  <c:v>7.8852989328415868</c:v>
                </c:pt>
                <c:pt idx="269">
                  <c:v>7.8456358101926424</c:v>
                </c:pt>
                <c:pt idx="270">
                  <c:v>7.8060492934734018</c:v>
                </c:pt>
                <c:pt idx="271">
                  <c:v>7.7665389391328006</c:v>
                </c:pt>
                <c:pt idx="272">
                  <c:v>7.7271043051253283</c:v>
                </c:pt>
                <c:pt idx="273">
                  <c:v>7.6877449509071587</c:v>
                </c:pt>
                <c:pt idx="274">
                  <c:v>7.6484604374321057</c:v>
                </c:pt>
                <c:pt idx="275">
                  <c:v>7.6092503271475183</c:v>
                </c:pt>
                <c:pt idx="276">
                  <c:v>7.570114183990146</c:v>
                </c:pt>
                <c:pt idx="277">
                  <c:v>7.5310515733818297</c:v>
                </c:pt>
                <c:pt idx="278">
                  <c:v>7.4920620622251395</c:v>
                </c:pt>
                <c:pt idx="279">
                  <c:v>7.4531452188989364</c:v>
                </c:pt>
                <c:pt idx="280">
                  <c:v>7.4143006132537987</c:v>
                </c:pt>
                <c:pt idx="281">
                  <c:v>7.3755278166074865</c:v>
                </c:pt>
                <c:pt idx="282">
                  <c:v>7.3368264017401499</c:v>
                </c:pt>
                <c:pt idx="283">
                  <c:v>7.2981959428896008</c:v>
                </c:pt>
                <c:pt idx="284">
                  <c:v>7.2596360157464437</c:v>
                </c:pt>
                <c:pt idx="285">
                  <c:v>7.2211461974490989</c:v>
                </c:pt>
                <c:pt idx="286">
                  <c:v>7.1827260665788399</c:v>
                </c:pt>
                <c:pt idx="287">
                  <c:v>7.1443752031546905</c:v>
                </c:pt>
                <c:pt idx="288">
                  <c:v>7.1060931886282148</c:v>
                </c:pt>
                <c:pt idx="289">
                  <c:v>7.0678796058783266</c:v>
                </c:pt>
                <c:pt idx="290">
                  <c:v>7.029734039205926</c:v>
                </c:pt>
                <c:pt idx="291">
                  <c:v>6.9916560743285663</c:v>
                </c:pt>
                <c:pt idx="292">
                  <c:v>6.9536452983749699</c:v>
                </c:pt>
                <c:pt idx="293">
                  <c:v>6.9157012998795029</c:v>
                </c:pt>
                <c:pt idx="294">
                  <c:v>6.8778236687766245</c:v>
                </c:pt>
                <c:pt idx="295">
                  <c:v>6.84001199639515</c:v>
                </c:pt>
                <c:pt idx="296">
                  <c:v>6.8022658754526057</c:v>
                </c:pt>
                <c:pt idx="297">
                  <c:v>6.7645849000494049</c:v>
                </c:pt>
                <c:pt idx="298">
                  <c:v>6.7269686656629943</c:v>
                </c:pt>
                <c:pt idx="299">
                  <c:v>6.6894167691419764</c:v>
                </c:pt>
                <c:pt idx="300">
                  <c:v>6.6519288087000907</c:v>
                </c:pt>
                <c:pt idx="301">
                  <c:v>6.6145043839101785</c:v>
                </c:pt>
                <c:pt idx="302">
                  <c:v>6.5771430956981343</c:v>
                </c:pt>
                <c:pt idx="303">
                  <c:v>6.5398445463367167</c:v>
                </c:pt>
                <c:pt idx="304">
                  <c:v>6.5026083394393552</c:v>
                </c:pt>
                <c:pt idx="305">
                  <c:v>6.4654340799538517</c:v>
                </c:pt>
                <c:pt idx="306">
                  <c:v>6.4283213741561065</c:v>
                </c:pt>
                <c:pt idx="307">
                  <c:v>6.3912698296437034</c:v>
                </c:pt>
                <c:pt idx="308">
                  <c:v>6.354279055329517</c:v>
                </c:pt>
                <c:pt idx="309">
                  <c:v>6.3173486614351884</c:v>
                </c:pt>
                <c:pt idx="310">
                  <c:v>6.2804782594845898</c:v>
                </c:pt>
                <c:pt idx="311">
                  <c:v>6.2436674622972701</c:v>
                </c:pt>
                <c:pt idx="312">
                  <c:v>6.2069158839818215</c:v>
                </c:pt>
                <c:pt idx="313">
                  <c:v>6.1702231399291456</c:v>
                </c:pt>
                <c:pt idx="314">
                  <c:v>6.1335888468057504</c:v>
                </c:pt>
                <c:pt idx="315">
                  <c:v>6.0970126225469734</c:v>
                </c:pt>
                <c:pt idx="316">
                  <c:v>6.0604940863501087</c:v>
                </c:pt>
                <c:pt idx="317">
                  <c:v>6.0240328586675833</c:v>
                </c:pt>
                <c:pt idx="318">
                  <c:v>5.9876285611999984</c:v>
                </c:pt>
                <c:pt idx="319">
                  <c:v>5.9512808168891773</c:v>
                </c:pt>
                <c:pt idx="320">
                  <c:v>5.9149892499111125</c:v>
                </c:pt>
                <c:pt idx="321">
                  <c:v>5.8787534856689874</c:v>
                </c:pt>
                <c:pt idx="322">
                  <c:v>5.8425731507859924</c:v>
                </c:pt>
                <c:pt idx="323">
                  <c:v>5.8064478730982279</c:v>
                </c:pt>
                <c:pt idx="324">
                  <c:v>5.7703772816475052</c:v>
                </c:pt>
                <c:pt idx="325">
                  <c:v>5.7343610066741277</c:v>
                </c:pt>
                <c:pt idx="326">
                  <c:v>5.6983986796096131</c:v>
                </c:pt>
                <c:pt idx="327">
                  <c:v>5.662489933069395</c:v>
                </c:pt>
                <c:pt idx="328">
                  <c:v>5.6266344008454734</c:v>
                </c:pt>
                <c:pt idx="329">
                  <c:v>5.5908317178990279</c:v>
                </c:pt>
                <c:pt idx="330">
                  <c:v>5.5550815203530011</c:v>
                </c:pt>
                <c:pt idx="331">
                  <c:v>5.5193834454846051</c:v>
                </c:pt>
                <c:pt idx="332">
                  <c:v>5.48373713171787</c:v>
                </c:pt>
                <c:pt idx="333">
                  <c:v>5.4481422186160682</c:v>
                </c:pt>
                <c:pt idx="334">
                  <c:v>5.4125983468741774</c:v>
                </c:pt>
                <c:pt idx="335">
                  <c:v>5.3771051583112346</c:v>
                </c:pt>
                <c:pt idx="336">
                  <c:v>5.3416622958626911</c:v>
                </c:pt>
                <c:pt idx="337">
                  <c:v>5.306269403572772</c:v>
                </c:pt>
                <c:pt idx="338">
                  <c:v>5.2709261265867191</c:v>
                </c:pt>
                <c:pt idx="339">
                  <c:v>5.2356321111430866</c:v>
                </c:pt>
                <c:pt idx="340">
                  <c:v>5.2003870045659122</c:v>
                </c:pt>
                <c:pt idx="341">
                  <c:v>5.1651904552569059</c:v>
                </c:pt>
                <c:pt idx="342">
                  <c:v>5.1300421126876365</c:v>
                </c:pt>
                <c:pt idx="343">
                  <c:v>5.094941627391619</c:v>
                </c:pt>
                <c:pt idx="344">
                  <c:v>5.0598886509564061</c:v>
                </c:pt>
                <c:pt idx="345">
                  <c:v>5.0248828360156486</c:v>
                </c:pt>
                <c:pt idx="346">
                  <c:v>4.9899238362410756</c:v>
                </c:pt>
                <c:pt idx="347">
                  <c:v>4.9550113063345664</c:v>
                </c:pt>
                <c:pt idx="348">
                  <c:v>4.9201449020200227</c:v>
                </c:pt>
                <c:pt idx="349">
                  <c:v>4.8853242800353414</c:v>
                </c:pt>
                <c:pt idx="350">
                  <c:v>4.8505490981243042</c:v>
                </c:pt>
                <c:pt idx="351">
                  <c:v>4.8158190150284064</c:v>
                </c:pt>
                <c:pt idx="352">
                  <c:v>4.7811336904787698</c:v>
                </c:pt>
                <c:pt idx="353">
                  <c:v>4.7464927851878675</c:v>
                </c:pt>
                <c:pt idx="354">
                  <c:v>4.7118959608413373</c:v>
                </c:pt>
                <c:pt idx="355">
                  <c:v>4.6773428800897294</c:v>
                </c:pt>
                <c:pt idx="356">
                  <c:v>4.6428332065401836</c:v>
                </c:pt>
                <c:pt idx="357">
                  <c:v>4.6083666047481673</c:v>
                </c:pt>
                <c:pt idx="358">
                  <c:v>4.5739427402090982</c:v>
                </c:pt>
                <c:pt idx="359">
                  <c:v>4.539561279349968</c:v>
                </c:pt>
                <c:pt idx="360">
                  <c:v>4.5052218895209846</c:v>
                </c:pt>
                <c:pt idx="361">
                  <c:v>4.4709242389870569</c:v>
                </c:pt>
                <c:pt idx="362">
                  <c:v>4.4366679969194154</c:v>
                </c:pt>
                <c:pt idx="363">
                  <c:v>4.4024528333870805</c:v>
                </c:pt>
                <c:pt idx="364">
                  <c:v>4.3682784193483508</c:v>
                </c:pt>
                <c:pt idx="365">
                  <c:v>4.3341444266422764</c:v>
                </c:pt>
                <c:pt idx="366">
                  <c:v>4.3000505279800532</c:v>
                </c:pt>
                <c:pt idx="367">
                  <c:v>4.265996396936413</c:v>
                </c:pt>
                <c:pt idx="368">
                  <c:v>4.2319817079410331</c:v>
                </c:pt>
                <c:pt idx="369">
                  <c:v>4.1980061362698358</c:v>
                </c:pt>
                <c:pt idx="370">
                  <c:v>4.1640693580363193</c:v>
                </c:pt>
                <c:pt idx="371">
                  <c:v>4.1301710501828017</c:v>
                </c:pt>
                <c:pt idx="372">
                  <c:v>4.0963108904717132</c:v>
                </c:pt>
                <c:pt idx="373">
                  <c:v>4.0624885574768177</c:v>
                </c:pt>
                <c:pt idx="374">
                  <c:v>4.0287037305743656</c:v>
                </c:pt>
                <c:pt idx="375">
                  <c:v>3.9949560899342886</c:v>
                </c:pt>
                <c:pt idx="376">
                  <c:v>3.9612453165113339</c:v>
                </c:pt>
                <c:pt idx="377">
                  <c:v>3.9275710920361329</c:v>
                </c:pt>
                <c:pt idx="378">
                  <c:v>3.8939330990063463</c:v>
                </c:pt>
                <c:pt idx="379">
                  <c:v>3.8603310206776436</c:v>
                </c:pt>
                <c:pt idx="380">
                  <c:v>3.8267645410547453</c:v>
                </c:pt>
                <c:pt idx="381">
                  <c:v>3.7932333448824171</c:v>
                </c:pt>
                <c:pt idx="382">
                  <c:v>3.7597371176363907</c:v>
                </c:pt>
                <c:pt idx="383">
                  <c:v>3.7262755455143362</c:v>
                </c:pt>
                <c:pt idx="384">
                  <c:v>3.6928483154267222</c:v>
                </c:pt>
                <c:pt idx="385">
                  <c:v>3.6594551149876819</c:v>
                </c:pt>
                <c:pt idx="386">
                  <c:v>3.6260956325058848</c:v>
                </c:pt>
                <c:pt idx="387">
                  <c:v>3.5927695569752549</c:v>
                </c:pt>
                <c:pt idx="388">
                  <c:v>3.5594765780658224</c:v>
                </c:pt>
                <c:pt idx="389">
                  <c:v>3.5262163861144185</c:v>
                </c:pt>
                <c:pt idx="390">
                  <c:v>3.4929886721153798</c:v>
                </c:pt>
                <c:pt idx="391">
                  <c:v>3.4597931277112597</c:v>
                </c:pt>
                <c:pt idx="392">
                  <c:v>3.426629445183389</c:v>
                </c:pt>
                <c:pt idx="393">
                  <c:v>3.3934973174425607</c:v>
                </c:pt>
                <c:pt idx="394">
                  <c:v>3.3603964380195603</c:v>
                </c:pt>
                <c:pt idx="395">
                  <c:v>3.3273265010557114</c:v>
                </c:pt>
                <c:pt idx="396">
                  <c:v>3.2942872012933888</c:v>
                </c:pt>
                <c:pt idx="397">
                  <c:v>3.2612782340664532</c:v>
                </c:pt>
                <c:pt idx="398">
                  <c:v>3.2282992952907246</c:v>
                </c:pt>
                <c:pt idx="399">
                  <c:v>3.1953500814543769</c:v>
                </c:pt>
                <c:pt idx="400">
                  <c:v>3.1624302896082646</c:v>
                </c:pt>
                <c:pt idx="401">
                  <c:v>3.1295396173562779</c:v>
                </c:pt>
                <c:pt idx="402">
                  <c:v>3.096677762845601</c:v>
                </c:pt>
                <c:pt idx="403">
                  <c:v>3.0638444247569909</c:v>
                </c:pt>
                <c:pt idx="404">
                  <c:v>3.0310393022949924</c:v>
                </c:pt>
                <c:pt idx="405">
                  <c:v>2.9982620951780738</c:v>
                </c:pt>
                <c:pt idx="406">
                  <c:v>2.9655125036287933</c:v>
                </c:pt>
                <c:pt idx="407">
                  <c:v>2.9327902283638578</c:v>
                </c:pt>
                <c:pt idx="408">
                  <c:v>2.9000949705842194</c:v>
                </c:pt>
                <c:pt idx="409">
                  <c:v>2.8674264319650566</c:v>
                </c:pt>
                <c:pt idx="410">
                  <c:v>2.8347843146457521</c:v>
                </c:pt>
                <c:pt idx="411">
                  <c:v>2.8021683212198267</c:v>
                </c:pt>
                <c:pt idx="412">
                  <c:v>2.7695781547247891</c:v>
                </c:pt>
                <c:pt idx="413">
                  <c:v>2.7370135186320472</c:v>
                </c:pt>
                <c:pt idx="414">
                  <c:v>2.704474116836634</c:v>
                </c:pt>
                <c:pt idx="415">
                  <c:v>2.6719596536469936</c:v>
                </c:pt>
                <c:pt idx="416">
                  <c:v>2.6394698337746734</c:v>
                </c:pt>
                <c:pt idx="417">
                  <c:v>2.6070043623240187</c:v>
                </c:pt>
                <c:pt idx="418">
                  <c:v>2.5745629447817131</c:v>
                </c:pt>
                <c:pt idx="419">
                  <c:v>2.5421452870064138</c:v>
                </c:pt>
                <c:pt idx="420">
                  <c:v>2.5097510952182311</c:v>
                </c:pt>
                <c:pt idx="421">
                  <c:v>2.477380075988207</c:v>
                </c:pt>
                <c:pt idx="422">
                  <c:v>2.4450319362277022</c:v>
                </c:pt>
                <c:pt idx="423">
                  <c:v>2.4127063831778019</c:v>
                </c:pt>
                <c:pt idx="424">
                  <c:v>2.3804031243985992</c:v>
                </c:pt>
                <c:pt idx="425">
                  <c:v>2.3481218677584526</c:v>
                </c:pt>
                <c:pt idx="426">
                  <c:v>2.3158623214232175</c:v>
                </c:pt>
                <c:pt idx="427">
                  <c:v>2.2836241938453612</c:v>
                </c:pt>
                <c:pt idx="428">
                  <c:v>2.2514071937530553</c:v>
                </c:pt>
                <c:pt idx="429">
                  <c:v>2.2192110301392463</c:v>
                </c:pt>
                <c:pt idx="430">
                  <c:v>2.1870354122505997</c:v>
                </c:pt>
                <c:pt idx="431">
                  <c:v>2.1548800495764548</c:v>
                </c:pt>
                <c:pt idx="432">
                  <c:v>2.1227446518376465</c:v>
                </c:pt>
                <c:pt idx="433">
                  <c:v>2.0906289289753053</c:v>
                </c:pt>
                <c:pt idx="434">
                  <c:v>2.0585325911396284</c:v>
                </c:pt>
                <c:pt idx="435">
                  <c:v>2.0264553486785237</c:v>
                </c:pt>
                <c:pt idx="436">
                  <c:v>1.9943969121262333</c:v>
                </c:pt>
                <c:pt idx="437">
                  <c:v>1.9623569921918445</c:v>
                </c:pt>
                <c:pt idx="438">
                  <c:v>1.9303352997478072</c:v>
                </c:pt>
                <c:pt idx="439">
                  <c:v>1.898331545818337</c:v>
                </c:pt>
                <c:pt idx="440">
                  <c:v>1.8663454415677203</c:v>
                </c:pt>
                <c:pt idx="441">
                  <c:v>1.8343766982886114</c:v>
                </c:pt>
                <c:pt idx="442">
                  <c:v>1.8024250273902289</c:v>
                </c:pt>
                <c:pt idx="443">
                  <c:v>1.7704901403864441</c:v>
                </c:pt>
                <c:pt idx="444">
                  <c:v>1.7385717488839016</c:v>
                </c:pt>
                <c:pt idx="445">
                  <c:v>1.7066695645699206</c:v>
                </c:pt>
                <c:pt idx="446">
                  <c:v>1.6747832992004268</c:v>
                </c:pt>
                <c:pt idx="447">
                  <c:v>1.6429126645877736</c:v>
                </c:pt>
                <c:pt idx="448">
                  <c:v>1.6110573725884465</c:v>
                </c:pt>
                <c:pt idx="449">
                  <c:v>1.579217135090766</c:v>
                </c:pt>
                <c:pt idx="450">
                  <c:v>1.5473916640024303</c:v>
                </c:pt>
                <c:pt idx="451">
                  <c:v>1.5155806712380047</c:v>
                </c:pt>
                <c:pt idx="452">
                  <c:v>1.4837838687063607</c:v>
                </c:pt>
                <c:pt idx="453">
                  <c:v>1.4520009682979189</c:v>
                </c:pt>
                <c:pt idx="454">
                  <c:v>1.4202316818719456</c:v>
                </c:pt>
                <c:pt idx="455">
                  <c:v>1.3884757212436527</c:v>
                </c:pt>
                <c:pt idx="456">
                  <c:v>1.3567327981712387</c:v>
                </c:pt>
                <c:pt idx="457">
                  <c:v>1.325002624342873</c:v>
                </c:pt>
                <c:pt idx="458">
                  <c:v>1.2932849113634748</c:v>
                </c:pt>
                <c:pt idx="459">
                  <c:v>1.2615793707415375</c:v>
                </c:pt>
                <c:pt idx="460">
                  <c:v>1.229885713875748</c:v>
                </c:pt>
                <c:pt idx="461">
                  <c:v>1.198203652041544</c:v>
                </c:pt>
                <c:pt idx="462">
                  <c:v>1.1665328963775699</c:v>
                </c:pt>
                <c:pt idx="463">
                  <c:v>1.1348731578719902</c:v>
                </c:pt>
                <c:pt idx="464">
                  <c:v>1.1032241473487607</c:v>
                </c:pt>
                <c:pt idx="465">
                  <c:v>1.0715855754537544</c:v>
                </c:pt>
                <c:pt idx="466">
                  <c:v>1.0399571526407376</c:v>
                </c:pt>
                <c:pt idx="467">
                  <c:v>1.0083385891573076</c:v>
                </c:pt>
                <c:pt idx="468">
                  <c:v>0.97672959503063905</c:v>
                </c:pt>
                <c:pt idx="469">
                  <c:v>0.94512988005318688</c:v>
                </c:pt>
                <c:pt idx="470">
                  <c:v>0.91353915376823158</c:v>
                </c:pt>
                <c:pt idx="471">
                  <c:v>0.88195712545526639</c:v>
                </c:pt>
                <c:pt idx="472">
                  <c:v>0.8503835041153307</c:v>
                </c:pt>
                <c:pt idx="473">
                  <c:v>0.81881799845614456</c:v>
                </c:pt>
                <c:pt idx="474">
                  <c:v>0.78726031687719389</c:v>
                </c:pt>
                <c:pt idx="475">
                  <c:v>0.75571016745460928</c:v>
                </c:pt>
                <c:pt idx="476">
                  <c:v>0.72416725792594738</c:v>
                </c:pt>
                <c:pt idx="477">
                  <c:v>0.69263129567482074</c:v>
                </c:pt>
                <c:pt idx="478">
                  <c:v>0.66110198771543016</c:v>
                </c:pt>
                <c:pt idx="479">
                  <c:v>0.62957904067684733</c:v>
                </c:pt>
                <c:pt idx="480">
                  <c:v>0.59806216078729524</c:v>
                </c:pt>
                <c:pt idx="481">
                  <c:v>0.56655105385817317</c:v>
                </c:pt>
                <c:pt idx="482">
                  <c:v>0.53504542526796695</c:v>
                </c:pt>
                <c:pt idx="483">
                  <c:v>0.50354497994603997</c:v>
                </c:pt>
                <c:pt idx="484">
                  <c:v>0.47204942235616199</c:v>
                </c:pt>
                <c:pt idx="485">
                  <c:v>0.44055845648001962</c:v>
                </c:pt>
                <c:pt idx="486">
                  <c:v>0.40907178580045717</c:v>
                </c:pt>
                <c:pt idx="487">
                  <c:v>0.37758911328460215</c:v>
                </c:pt>
                <c:pt idx="488">
                  <c:v>0.34611014136677781</c:v>
                </c:pt>
                <c:pt idx="489">
                  <c:v>0.31463457193131544</c:v>
                </c:pt>
                <c:pt idx="490">
                  <c:v>0.28316210629511179</c:v>
                </c:pt>
                <c:pt idx="491">
                  <c:v>0.25169244519007911</c:v>
                </c:pt>
                <c:pt idx="492">
                  <c:v>0.22022528874533395</c:v>
                </c:pt>
                <c:pt idx="493">
                  <c:v>0.18876033646927801</c:v>
                </c:pt>
                <c:pt idx="494">
                  <c:v>0.15729728723141825</c:v>
                </c:pt>
                <c:pt idx="495">
                  <c:v>0.12583583924406477</c:v>
                </c:pt>
                <c:pt idx="496">
                  <c:v>9.4375690043795535E-2</c:v>
                </c:pt>
                <c:pt idx="497">
                  <c:v>6.2916536472684664E-2</c:v>
                </c:pt>
                <c:pt idx="498">
                  <c:v>3.1458074659396942E-2</c:v>
                </c:pt>
                <c:pt idx="499">
                  <c:v>1.9676812097698256E-15</c:v>
                </c:pt>
              </c:numCache>
            </c:numRef>
          </c:xVal>
          <c:yVal>
            <c:numRef>
              <c:f>Main!$G$12:$G$511</c:f>
              <c:numCache>
                <c:formatCode>General</c:formatCode>
                <c:ptCount val="500"/>
                <c:pt idx="0">
                  <c:v>43.256708702965632</c:v>
                </c:pt>
                <c:pt idx="1">
                  <c:v>43.208807518065491</c:v>
                </c:pt>
                <c:pt idx="2">
                  <c:v>43.160984672112505</c:v>
                </c:pt>
                <c:pt idx="3">
                  <c:v>43.113240948562442</c:v>
                </c:pt>
                <c:pt idx="4">
                  <c:v>43.065577122283862</c:v>
                </c:pt>
                <c:pt idx="5">
                  <c:v>43.01799395956548</c:v>
                </c:pt>
                <c:pt idx="6">
                  <c:v>42.970492218124519</c:v>
                </c:pt>
                <c:pt idx="7">
                  <c:v>42.92307264711593</c:v>
                </c:pt>
                <c:pt idx="8">
                  <c:v>42.875735987142676</c:v>
                </c:pt>
                <c:pt idx="9">
                  <c:v>42.82848297026672</c:v>
                </c:pt>
                <c:pt idx="10">
                  <c:v>42.781314320021131</c:v>
                </c:pt>
                <c:pt idx="11">
                  <c:v>42.73423075142297</c:v>
                </c:pt>
                <c:pt idx="12">
                  <c:v>42.687232970987097</c:v>
                </c:pt>
                <c:pt idx="13">
                  <c:v>42.640321676740875</c:v>
                </c:pt>
                <c:pt idx="14">
                  <c:v>42.593497558239704</c:v>
                </c:pt>
                <c:pt idx="15">
                  <c:v>42.546761296583441</c:v>
                </c:pt>
                <c:pt idx="16">
                  <c:v>42.500113564433661</c:v>
                </c:pt>
                <c:pt idx="17">
                  <c:v>42.45355502603185</c:v>
                </c:pt>
                <c:pt idx="18">
                  <c:v>42.407086337218161</c:v>
                </c:pt>
                <c:pt idx="19">
                  <c:v>42.360708145451376</c:v>
                </c:pt>
                <c:pt idx="20">
                  <c:v>42.314421089829317</c:v>
                </c:pt>
                <c:pt idx="21">
                  <c:v>42.268225801110283</c:v>
                </c:pt>
                <c:pt idx="22">
                  <c:v>42.222122901735183</c:v>
                </c:pt>
                <c:pt idx="23">
                  <c:v>42.176113005850475</c:v>
                </c:pt>
                <c:pt idx="24">
                  <c:v>42.130196719331828</c:v>
                </c:pt>
                <c:pt idx="25">
                  <c:v>42.084374639808658</c:v>
                </c:pt>
                <c:pt idx="26">
                  <c:v>42.038647356689175</c:v>
                </c:pt>
                <c:pt idx="27">
                  <c:v>41.99301545118648</c:v>
                </c:pt>
                <c:pt idx="28">
                  <c:v>41.947479496345096</c:v>
                </c:pt>
                <c:pt idx="29">
                  <c:v>41.902040057068383</c:v>
                </c:pt>
                <c:pt idx="30">
                  <c:v>41.856697690146575</c:v>
                </c:pt>
                <c:pt idx="31">
                  <c:v>41.811452944285563</c:v>
                </c:pt>
                <c:pt idx="32">
                  <c:v>41.766306360136305</c:v>
                </c:pt>
                <c:pt idx="33">
                  <c:v>41.721258470324919</c:v>
                </c:pt>
                <c:pt idx="34">
                  <c:v>41.676309799483441</c:v>
                </c:pt>
                <c:pt idx="35">
                  <c:v>41.631460864281252</c:v>
                </c:pt>
                <c:pt idx="36">
                  <c:v>41.586712173457009</c:v>
                </c:pt>
                <c:pt idx="37">
                  <c:v>41.542064227851441</c:v>
                </c:pt>
                <c:pt idx="38">
                  <c:v>41.497517520440489</c:v>
                </c:pt>
                <c:pt idx="39">
                  <c:v>41.453072536369206</c:v>
                </c:pt>
                <c:pt idx="40">
                  <c:v>41.408729752986218</c:v>
                </c:pt>
                <c:pt idx="41">
                  <c:v>41.364489639878698</c:v>
                </c:pt>
                <c:pt idx="42">
                  <c:v>41.320352658908</c:v>
                </c:pt>
                <c:pt idx="43">
                  <c:v>41.276319264245771</c:v>
                </c:pt>
                <c:pt idx="44">
                  <c:v>41.232389902410617</c:v>
                </c:pt>
                <c:pt idx="45">
                  <c:v>41.188565012305368</c:v>
                </c:pt>
                <c:pt idx="46">
                  <c:v>41.144845025254682</c:v>
                </c:pt>
                <c:pt idx="47">
                  <c:v>41.101230365043428</c:v>
                </c:pt>
                <c:pt idx="48">
                  <c:v>41.057721447955288</c:v>
                </c:pt>
                <c:pt idx="49">
                  <c:v>41.014318682812039</c:v>
                </c:pt>
                <c:pt idx="50">
                  <c:v>40.971022471013235</c:v>
                </c:pt>
                <c:pt idx="51">
                  <c:v>40.92783320657631</c:v>
                </c:pt>
                <c:pt idx="52">
                  <c:v>40.88475127617717</c:v>
                </c:pt>
                <c:pt idx="53">
                  <c:v>40.841777059191301</c:v>
                </c:pt>
                <c:pt idx="54">
                  <c:v>40.798910927735157</c:v>
                </c:pt>
                <c:pt idx="55">
                  <c:v>40.756153246708038</c:v>
                </c:pt>
                <c:pt idx="56">
                  <c:v>40.713504373834411</c:v>
                </c:pt>
                <c:pt idx="57">
                  <c:v>40.670964659706542</c:v>
                </c:pt>
                <c:pt idx="58">
                  <c:v>40.628534447827612</c:v>
                </c:pt>
                <c:pt idx="59">
                  <c:v>40.586214074655075</c:v>
                </c:pt>
                <c:pt idx="60">
                  <c:v>40.544003869644499</c:v>
                </c:pt>
                <c:pt idx="61">
                  <c:v>40.501904155293659</c:v>
                </c:pt>
                <c:pt idx="62">
                  <c:v>40.459915247187055</c:v>
                </c:pt>
                <c:pt idx="63">
                  <c:v>40.418037454040729</c:v>
                </c:pt>
                <c:pt idx="64">
                  <c:v>40.376271077747333</c:v>
                </c:pt>
                <c:pt idx="65">
                  <c:v>40.334616413421593</c:v>
                </c:pt>
                <c:pt idx="66">
                  <c:v>40.29307374944603</c:v>
                </c:pt>
                <c:pt idx="67">
                  <c:v>40.251643367516955</c:v>
                </c:pt>
                <c:pt idx="68">
                  <c:v>40.210325542690818</c:v>
                </c:pt>
                <c:pt idx="69">
                  <c:v>40.169120543430637</c:v>
                </c:pt>
                <c:pt idx="70">
                  <c:v>40.128028631652931</c:v>
                </c:pt>
                <c:pt idx="71">
                  <c:v>40.087050062774701</c:v>
                </c:pt>
                <c:pt idx="72">
                  <c:v>40.046185085760683</c:v>
                </c:pt>
                <c:pt idx="73">
                  <c:v>40.005433943170928</c:v>
                </c:pt>
                <c:pt idx="74">
                  <c:v>39.964796871208463</c:v>
                </c:pt>
                <c:pt idx="75">
                  <c:v>39.924274099767231</c:v>
                </c:pt>
                <c:pt idx="76">
                  <c:v>39.883865852480248</c:v>
                </c:pt>
                <c:pt idx="77">
                  <c:v>39.843572346767793</c:v>
                </c:pt>
                <c:pt idx="78">
                  <c:v>39.803393793885995</c:v>
                </c:pt>
                <c:pt idx="79">
                  <c:v>39.763330398975434</c:v>
                </c:pt>
                <c:pt idx="80">
                  <c:v>39.723382361109913</c:v>
                </c:pt>
                <c:pt idx="81">
                  <c:v>39.683549873345406</c:v>
                </c:pt>
                <c:pt idx="82">
                  <c:v>39.643833122769152</c:v>
                </c:pt>
                <c:pt idx="83">
                  <c:v>39.604232290548872</c:v>
                </c:pt>
                <c:pt idx="84">
                  <c:v>39.564747551982023</c:v>
                </c:pt>
                <c:pt idx="85">
                  <c:v>39.525379076545327</c:v>
                </c:pt>
                <c:pt idx="86">
                  <c:v>39.486127027944228</c:v>
                </c:pt>
                <c:pt idx="87">
                  <c:v>39.446991564162509</c:v>
                </c:pt>
                <c:pt idx="88">
                  <c:v>39.407972837512084</c:v>
                </c:pt>
                <c:pt idx="89">
                  <c:v>39.369070994682694</c:v>
                </c:pt>
                <c:pt idx="90">
                  <c:v>39.330286176791795</c:v>
                </c:pt>
                <c:pt idx="91">
                  <c:v>39.291618519434444</c:v>
                </c:pt>
                <c:pt idx="92">
                  <c:v>39.253068152733249</c:v>
                </c:pt>
                <c:pt idx="93">
                  <c:v>39.214635201388383</c:v>
                </c:pt>
                <c:pt idx="94">
                  <c:v>39.176319784727625</c:v>
                </c:pt>
                <c:pt idx="95">
                  <c:v>39.138122016756355</c:v>
                </c:pt>
                <c:pt idx="96">
                  <c:v>39.100042006207673</c:v>
                </c:pt>
                <c:pt idx="97">
                  <c:v>39.062079856592462</c:v>
                </c:pt>
                <c:pt idx="98">
                  <c:v>39.024235666249474</c:v>
                </c:pt>
                <c:pt idx="99">
                  <c:v>38.986509528395395</c:v>
                </c:pt>
                <c:pt idx="100">
                  <c:v>38.948901531174933</c:v>
                </c:pt>
                <c:pt idx="101">
                  <c:v>38.911411757710809</c:v>
                </c:pt>
                <c:pt idx="102">
                  <c:v>38.874040286153829</c:v>
                </c:pt>
                <c:pt idx="103">
                  <c:v>38.836787189732824</c:v>
                </c:pt>
                <c:pt idx="104">
                  <c:v>38.799652536804601</c:v>
                </c:pt>
                <c:pt idx="105">
                  <c:v>38.762636390903836</c:v>
                </c:pt>
                <c:pt idx="106">
                  <c:v>38.725738810792919</c:v>
                </c:pt>
                <c:pt idx="107">
                  <c:v>38.688959850511672</c:v>
                </c:pt>
                <c:pt idx="108">
                  <c:v>38.652299559427135</c:v>
                </c:pt>
                <c:pt idx="109">
                  <c:v>38.615757982283135</c:v>
                </c:pt>
                <c:pt idx="110">
                  <c:v>38.579335159249851</c:v>
                </c:pt>
                <c:pt idx="111">
                  <c:v>38.5430311259733</c:v>
                </c:pt>
                <c:pt idx="112">
                  <c:v>38.506845913624645</c:v>
                </c:pt>
                <c:pt idx="113">
                  <c:v>38.470779548949537</c:v>
                </c:pt>
                <c:pt idx="114">
                  <c:v>38.434832054317219</c:v>
                </c:pt>
                <c:pt idx="115">
                  <c:v>38.39900344776963</c:v>
                </c:pt>
                <c:pt idx="116">
                  <c:v>38.363293743070301</c:v>
                </c:pt>
                <c:pt idx="117">
                  <c:v>38.327702949753181</c:v>
                </c:pt>
                <c:pt idx="118">
                  <c:v>38.29223107317133</c:v>
                </c:pt>
                <c:pt idx="119">
                  <c:v>38.256878114545479</c:v>
                </c:pt>
                <c:pt idx="120">
                  <c:v>38.221644071012449</c:v>
                </c:pt>
                <c:pt idx="121">
                  <c:v>38.186528935673415</c:v>
                </c:pt>
                <c:pt idx="122">
                  <c:v>38.151532697642004</c:v>
                </c:pt>
                <c:pt idx="123">
                  <c:v>38.116655342092344</c:v>
                </c:pt>
                <c:pt idx="124">
                  <c:v>38.08189685030684</c:v>
                </c:pt>
                <c:pt idx="125">
                  <c:v>38.047257199723816</c:v>
                </c:pt>
                <c:pt idx="126">
                  <c:v>38.012736363985013</c:v>
                </c:pt>
                <c:pt idx="127">
                  <c:v>37.978334312982888</c:v>
                </c:pt>
                <c:pt idx="128">
                  <c:v>37.944051012907849</c:v>
                </c:pt>
                <c:pt idx="129">
                  <c:v>37.909886426295088</c:v>
                </c:pt>
                <c:pt idx="130">
                  <c:v>37.875840512071456</c:v>
                </c:pt>
                <c:pt idx="131">
                  <c:v>37.841913225601992</c:v>
                </c:pt>
                <c:pt idx="132">
                  <c:v>37.808104518736371</c:v>
                </c:pt>
                <c:pt idx="133">
                  <c:v>37.774414339855099</c:v>
                </c:pt>
                <c:pt idx="134">
                  <c:v>37.740842633915506</c:v>
                </c:pt>
                <c:pt idx="135">
                  <c:v>37.707389342497564</c:v>
                </c:pt>
                <c:pt idx="136">
                  <c:v>37.67405440384946</c:v>
                </c:pt>
                <c:pt idx="137">
                  <c:v>37.640837752933052</c:v>
                </c:pt>
                <c:pt idx="138">
                  <c:v>37.607739321468941</c:v>
                </c:pt>
                <c:pt idx="139">
                  <c:v>37.574759037981522</c:v>
                </c:pt>
                <c:pt idx="140">
                  <c:v>37.541896827843701</c:v>
                </c:pt>
                <c:pt idx="141">
                  <c:v>37.509152613321369</c:v>
                </c:pt>
                <c:pt idx="142">
                  <c:v>37.476526313617789</c:v>
                </c:pt>
                <c:pt idx="143">
                  <c:v>37.444017844917553</c:v>
                </c:pt>
                <c:pt idx="144">
                  <c:v>37.411627120430516</c:v>
                </c:pt>
                <c:pt idx="145">
                  <c:v>37.379354050435353</c:v>
                </c:pt>
                <c:pt idx="146">
                  <c:v>37.347198542322928</c:v>
                </c:pt>
                <c:pt idx="147">
                  <c:v>37.315160500639408</c:v>
                </c:pt>
                <c:pt idx="148">
                  <c:v>37.283239827129194</c:v>
                </c:pt>
                <c:pt idx="149">
                  <c:v>37.251436420777551</c:v>
                </c:pt>
                <c:pt idx="150">
                  <c:v>37.219750177853015</c:v>
                </c:pt>
                <c:pt idx="151">
                  <c:v>37.18818099194953</c:v>
                </c:pt>
                <c:pt idx="152">
                  <c:v>37.156728754028364</c:v>
                </c:pt>
                <c:pt idx="153">
                  <c:v>37.125393352459746</c:v>
                </c:pt>
                <c:pt idx="154">
                  <c:v>37.094174673064323</c:v>
                </c:pt>
                <c:pt idx="155">
                  <c:v>37.063072599154282</c:v>
                </c:pt>
                <c:pt idx="156">
                  <c:v>37.032087011574177</c:v>
                </c:pt>
                <c:pt idx="157">
                  <c:v>37.001217788741677</c:v>
                </c:pt>
                <c:pt idx="158">
                  <c:v>36.970464806687843</c:v>
                </c:pt>
                <c:pt idx="159">
                  <c:v>36.939827939097313</c:v>
                </c:pt>
                <c:pt idx="160">
                  <c:v>36.909307057348101</c:v>
                </c:pt>
                <c:pt idx="161">
                  <c:v>36.878902030551217</c:v>
                </c:pt>
                <c:pt idx="162">
                  <c:v>36.848612725589987</c:v>
                </c:pt>
                <c:pt idx="163">
                  <c:v>36.818439007159093</c:v>
                </c:pt>
                <c:pt idx="164">
                  <c:v>36.788380737803394</c:v>
                </c:pt>
                <c:pt idx="165">
                  <c:v>36.758437777956424</c:v>
                </c:pt>
                <c:pt idx="166">
                  <c:v>36.72860998597865</c:v>
                </c:pt>
                <c:pt idx="167">
                  <c:v>36.698897218195469</c:v>
                </c:pt>
                <c:pt idx="168">
                  <c:v>36.669299328934912</c:v>
                </c:pt>
                <c:pt idx="169">
                  <c:v>36.639816170565084</c:v>
                </c:pt>
                <c:pt idx="170">
                  <c:v>36.610447593531362</c:v>
                </c:pt>
                <c:pt idx="171">
                  <c:v>36.581193446393243</c:v>
                </c:pt>
                <c:pt idx="172">
                  <c:v>36.552053575861038</c:v>
                </c:pt>
                <c:pt idx="173">
                  <c:v>36.523027826832141</c:v>
                </c:pt>
                <c:pt idx="174">
                  <c:v>36.494116042427201</c:v>
                </c:pt>
                <c:pt idx="175">
                  <c:v>36.465318064025858</c:v>
                </c:pt>
                <c:pt idx="176">
                  <c:v>36.43663373130228</c:v>
                </c:pt>
                <c:pt idx="177">
                  <c:v>36.408062882260467</c:v>
                </c:pt>
                <c:pt idx="178">
                  <c:v>36.379605353269177</c:v>
                </c:pt>
                <c:pt idx="179">
                  <c:v>36.351260979096665</c:v>
                </c:pt>
                <c:pt idx="180">
                  <c:v>36.323029592945076</c:v>
                </c:pt>
                <c:pt idx="181">
                  <c:v>36.294911026484669</c:v>
                </c:pt>
                <c:pt idx="182">
                  <c:v>36.266905109887631</c:v>
                </c:pt>
                <c:pt idx="183">
                  <c:v>36.239011671861711</c:v>
                </c:pt>
                <c:pt idx="184">
                  <c:v>36.211230539683534</c:v>
                </c:pt>
                <c:pt idx="185">
                  <c:v>36.183561539231711</c:v>
                </c:pt>
                <c:pt idx="186">
                  <c:v>36.156004495019552</c:v>
                </c:pt>
                <c:pt idx="187">
                  <c:v>36.12855923022763</c:v>
                </c:pt>
                <c:pt idx="188">
                  <c:v>36.101225566735977</c:v>
                </c:pt>
                <c:pt idx="189">
                  <c:v>36.074003325156063</c:v>
                </c:pt>
                <c:pt idx="190">
                  <c:v>36.046892324862526</c:v>
                </c:pt>
                <c:pt idx="191">
                  <c:v>36.019892384024502</c:v>
                </c:pt>
                <c:pt idx="192">
                  <c:v>35.993003319636863</c:v>
                </c:pt>
                <c:pt idx="193">
                  <c:v>35.966224947551012</c:v>
                </c:pt>
                <c:pt idx="194">
                  <c:v>35.939557082505559</c:v>
                </c:pt>
                <c:pt idx="195">
                  <c:v>35.912999538156633</c:v>
                </c:pt>
                <c:pt idx="196">
                  <c:v>35.886552127107912</c:v>
                </c:pt>
                <c:pt idx="197">
                  <c:v>35.860214660940471</c:v>
                </c:pt>
                <c:pt idx="198">
                  <c:v>35.833986950242291</c:v>
                </c:pt>
                <c:pt idx="199">
                  <c:v>35.807868804637529</c:v>
                </c:pt>
                <c:pt idx="200">
                  <c:v>35.781860032815509</c:v>
                </c:pt>
                <c:pt idx="201">
                  <c:v>35.755960442559477</c:v>
                </c:pt>
                <c:pt idx="202">
                  <c:v>35.730169840775041</c:v>
                </c:pt>
                <c:pt idx="203">
                  <c:v>35.704488033518423</c:v>
                </c:pt>
                <c:pt idx="204">
                  <c:v>35.678914826024339</c:v>
                </c:pt>
                <c:pt idx="205">
                  <c:v>35.653450022733757</c:v>
                </c:pt>
                <c:pt idx="206">
                  <c:v>35.628093427321282</c:v>
                </c:pt>
                <c:pt idx="207">
                  <c:v>35.602844842722334</c:v>
                </c:pt>
                <c:pt idx="208">
                  <c:v>35.577704071160063</c:v>
                </c:pt>
                <c:pt idx="209">
                  <c:v>35.552670914171962</c:v>
                </c:pt>
                <c:pt idx="210">
                  <c:v>35.527745172636322</c:v>
                </c:pt>
                <c:pt idx="211">
                  <c:v>35.502926646798336</c:v>
                </c:pt>
                <c:pt idx="212">
                  <c:v>35.478215136296043</c:v>
                </c:pt>
                <c:pt idx="213">
                  <c:v>35.453610440185898</c:v>
                </c:pt>
                <c:pt idx="214">
                  <c:v>35.429112356968197</c:v>
                </c:pt>
                <c:pt idx="215">
                  <c:v>35.404720684612258</c:v>
                </c:pt>
                <c:pt idx="216">
                  <c:v>35.380435220581255</c:v>
                </c:pt>
                <c:pt idx="217">
                  <c:v>35.356255761856865</c:v>
                </c:pt>
                <c:pt idx="218">
                  <c:v>35.332182104963742</c:v>
                </c:pt>
                <c:pt idx="219">
                  <c:v>35.308214045993594</c:v>
                </c:pt>
                <c:pt idx="220">
                  <c:v>35.284351380629161</c:v>
                </c:pt>
                <c:pt idx="221">
                  <c:v>35.260593904167877</c:v>
                </c:pt>
                <c:pt idx="222">
                  <c:v>35.236941411545295</c:v>
                </c:pt>
                <c:pt idx="223">
                  <c:v>35.21339369735832</c:v>
                </c:pt>
                <c:pt idx="224">
                  <c:v>35.189950555888132</c:v>
                </c:pt>
                <c:pt idx="225">
                  <c:v>35.166611781122981</c:v>
                </c:pt>
                <c:pt idx="226">
                  <c:v>35.143377166780624</c:v>
                </c:pt>
                <c:pt idx="227">
                  <c:v>35.120246506330652</c:v>
                </c:pt>
                <c:pt idx="228">
                  <c:v>35.09721959301649</c:v>
                </c:pt>
                <c:pt idx="229">
                  <c:v>35.074296219877212</c:v>
                </c:pt>
                <c:pt idx="230">
                  <c:v>35.051476179769146</c:v>
                </c:pt>
                <c:pt idx="231">
                  <c:v>35.028759265387251</c:v>
                </c:pt>
                <c:pt idx="232">
                  <c:v>35.006145269286186</c:v>
                </c:pt>
                <c:pt idx="233">
                  <c:v>34.983633983901314</c:v>
                </c:pt>
                <c:pt idx="234">
                  <c:v>34.961225201569349</c:v>
                </c:pt>
                <c:pt idx="235">
                  <c:v>34.938918714548848</c:v>
                </c:pt>
                <c:pt idx="236">
                  <c:v>34.91671431504048</c:v>
                </c:pt>
                <c:pt idx="237">
                  <c:v>34.894611795207062</c:v>
                </c:pt>
                <c:pt idx="238">
                  <c:v>34.872610947193408</c:v>
                </c:pt>
                <c:pt idx="239">
                  <c:v>34.850711563145957</c:v>
                </c:pt>
                <c:pt idx="240">
                  <c:v>34.828913435232188</c:v>
                </c:pt>
                <c:pt idx="241">
                  <c:v>34.807216355659818</c:v>
                </c:pt>
                <c:pt idx="242">
                  <c:v>34.785620116695839</c:v>
                </c:pt>
                <c:pt idx="243">
                  <c:v>34.764124510685264</c:v>
                </c:pt>
                <c:pt idx="244">
                  <c:v>34.742729330069778</c:v>
                </c:pt>
                <c:pt idx="245">
                  <c:v>34.72143436740609</c:v>
                </c:pt>
                <c:pt idx="246">
                  <c:v>34.700239415384175</c:v>
                </c:pt>
                <c:pt idx="247">
                  <c:v>34.679144266845256</c:v>
                </c:pt>
                <c:pt idx="248">
                  <c:v>34.658148714799616</c:v>
                </c:pt>
                <c:pt idx="249">
                  <c:v>34.637252552444188</c:v>
                </c:pt>
                <c:pt idx="250">
                  <c:v>34.616455573180019</c:v>
                </c:pt>
                <c:pt idx="251">
                  <c:v>34.595757570629473</c:v>
                </c:pt>
                <c:pt idx="252">
                  <c:v>34.575158338653289</c:v>
                </c:pt>
                <c:pt idx="253">
                  <c:v>34.554657671367458</c:v>
                </c:pt>
                <c:pt idx="254">
                  <c:v>34.534255363159836</c:v>
                </c:pt>
                <c:pt idx="255">
                  <c:v>34.51395120870675</c:v>
                </c:pt>
                <c:pt idx="256">
                  <c:v>34.493745002989201</c:v>
                </c:pt>
                <c:pt idx="257">
                  <c:v>34.473636541309055</c:v>
                </c:pt>
                <c:pt idx="258">
                  <c:v>34.453625619305008</c:v>
                </c:pt>
                <c:pt idx="259">
                  <c:v>34.433712032968337</c:v>
                </c:pt>
                <c:pt idx="260">
                  <c:v>34.413895578658554</c:v>
                </c:pt>
                <c:pt idx="261">
                  <c:v>34.394176053118812</c:v>
                </c:pt>
                <c:pt idx="262">
                  <c:v>34.374553253491193</c:v>
                </c:pt>
                <c:pt idx="263">
                  <c:v>34.355026977331825</c:v>
                </c:pt>
                <c:pt idx="264">
                  <c:v>34.335597022625805</c:v>
                </c:pt>
                <c:pt idx="265">
                  <c:v>34.316263187801951</c:v>
                </c:pt>
                <c:pt idx="266">
                  <c:v>34.297025271747493</c:v>
                </c:pt>
                <c:pt idx="267">
                  <c:v>34.277883073822444</c:v>
                </c:pt>
                <c:pt idx="268">
                  <c:v>34.25883639387397</c:v>
                </c:pt>
                <c:pt idx="269">
                  <c:v>34.239885032250477</c:v>
                </c:pt>
                <c:pt idx="270">
                  <c:v>34.221028789815612</c:v>
                </c:pt>
                <c:pt idx="271">
                  <c:v>34.20226746796213</c:v>
                </c:pt>
                <c:pt idx="272">
                  <c:v>34.18360086862554</c:v>
                </c:pt>
                <c:pt idx="273">
                  <c:v>34.165028794297676</c:v>
                </c:pt>
                <c:pt idx="274">
                  <c:v>34.146551048040067</c:v>
                </c:pt>
                <c:pt idx="275">
                  <c:v>34.128167433497175</c:v>
                </c:pt>
                <c:pt idx="276">
                  <c:v>34.109877754909519</c:v>
                </c:pt>
                <c:pt idx="277">
                  <c:v>34.091681817126641</c:v>
                </c:pt>
                <c:pt idx="278">
                  <c:v>34.073579425619904</c:v>
                </c:pt>
                <c:pt idx="279">
                  <c:v>34.055570386495212</c:v>
                </c:pt>
                <c:pt idx="280">
                  <c:v>34.037654506505504</c:v>
                </c:pt>
                <c:pt idx="281">
                  <c:v>34.019831593063259</c:v>
                </c:pt>
                <c:pt idx="282">
                  <c:v>34.002101454252703</c:v>
                </c:pt>
                <c:pt idx="283">
                  <c:v>33.984463898842023</c:v>
                </c:pt>
                <c:pt idx="284">
                  <c:v>33.966918736295341</c:v>
                </c:pt>
                <c:pt idx="285">
                  <c:v>33.949465776784649</c:v>
                </c:pt>
                <c:pt idx="286">
                  <c:v>33.932104831201599</c:v>
                </c:pt>
                <c:pt idx="287">
                  <c:v>33.914835711169147</c:v>
                </c:pt>
                <c:pt idx="288">
                  <c:v>33.897658229053064</c:v>
                </c:pt>
                <c:pt idx="289">
                  <c:v>33.8805721979734</c:v>
                </c:pt>
                <c:pt idx="290">
                  <c:v>33.863577431815749</c:v>
                </c:pt>
                <c:pt idx="291">
                  <c:v>33.846673745242448</c:v>
                </c:pt>
                <c:pt idx="292">
                  <c:v>33.829860953703644</c:v>
                </c:pt>
                <c:pt idx="293">
                  <c:v>33.81313887344826</c:v>
                </c:pt>
                <c:pt idx="294">
                  <c:v>33.796507321534861</c:v>
                </c:pt>
                <c:pt idx="295">
                  <c:v>33.77996611584237</c:v>
                </c:pt>
                <c:pt idx="296">
                  <c:v>33.763515075080718</c:v>
                </c:pt>
                <c:pt idx="297">
                  <c:v>33.747154018801396</c:v>
                </c:pt>
                <c:pt idx="298">
                  <c:v>33.730882767407856</c:v>
                </c:pt>
                <c:pt idx="299">
                  <c:v>33.714701142165865</c:v>
                </c:pt>
                <c:pt idx="300">
                  <c:v>33.698608965213758</c:v>
                </c:pt>
                <c:pt idx="301">
                  <c:v>33.682606059572514</c:v>
                </c:pt>
                <c:pt idx="302">
                  <c:v>33.666692249155844</c:v>
                </c:pt>
                <c:pt idx="303">
                  <c:v>33.650867358780154</c:v>
                </c:pt>
                <c:pt idx="304">
                  <c:v>33.635131214174351</c:v>
                </c:pt>
                <c:pt idx="305">
                  <c:v>33.619483641989653</c:v>
                </c:pt>
                <c:pt idx="306">
                  <c:v>33.603924469809257</c:v>
                </c:pt>
                <c:pt idx="307">
                  <c:v>33.588453526157913</c:v>
                </c:pt>
                <c:pt idx="308">
                  <c:v>33.573070640511496</c:v>
                </c:pt>
                <c:pt idx="309">
                  <c:v>33.55777564330635</c:v>
                </c:pt>
                <c:pt idx="310">
                  <c:v>33.542568365948689</c:v>
                </c:pt>
                <c:pt idx="311">
                  <c:v>33.527448640823849</c:v>
                </c:pt>
                <c:pt idx="312">
                  <c:v>33.512416301305485</c:v>
                </c:pt>
                <c:pt idx="313">
                  <c:v>33.497471181764695</c:v>
                </c:pt>
                <c:pt idx="314">
                  <c:v>33.482613117579035</c:v>
                </c:pt>
                <c:pt idx="315">
                  <c:v>33.467841945141522</c:v>
                </c:pt>
                <c:pt idx="316">
                  <c:v>33.453157501869484</c:v>
                </c:pt>
                <c:pt idx="317">
                  <c:v>33.438559626213468</c:v>
                </c:pt>
                <c:pt idx="318">
                  <c:v>33.424048157665936</c:v>
                </c:pt>
                <c:pt idx="319">
                  <c:v>33.409622936770006</c:v>
                </c:pt>
                <c:pt idx="320">
                  <c:v>33.395283805128052</c:v>
                </c:pt>
                <c:pt idx="321">
                  <c:v>33.381030605410352</c:v>
                </c:pt>
                <c:pt idx="322">
                  <c:v>33.366863181363506</c:v>
                </c:pt>
                <c:pt idx="323">
                  <c:v>33.352781377818971</c:v>
                </c:pt>
                <c:pt idx="324">
                  <c:v>33.338785040701431</c:v>
                </c:pt>
                <c:pt idx="325">
                  <c:v>33.32487401703716</c:v>
                </c:pt>
                <c:pt idx="326">
                  <c:v>33.311048154962286</c:v>
                </c:pt>
                <c:pt idx="327">
                  <c:v>33.297307303731088</c:v>
                </c:pt>
                <c:pt idx="328">
                  <c:v>33.283651313724143</c:v>
                </c:pt>
                <c:pt idx="329">
                  <c:v>33.270080036456484</c:v>
                </c:pt>
                <c:pt idx="330">
                  <c:v>33.256593324585744</c:v>
                </c:pt>
                <c:pt idx="331">
                  <c:v>33.243191031920126</c:v>
                </c:pt>
                <c:pt idx="332">
                  <c:v>33.229873013426513</c:v>
                </c:pt>
                <c:pt idx="333">
                  <c:v>33.216639125238387</c:v>
                </c:pt>
                <c:pt idx="334">
                  <c:v>33.203489224663777</c:v>
                </c:pt>
                <c:pt idx="335">
                  <c:v>33.190423170193156</c:v>
                </c:pt>
                <c:pt idx="336">
                  <c:v>33.177440821507304</c:v>
                </c:pt>
                <c:pt idx="337">
                  <c:v>33.164542039485156</c:v>
                </c:pt>
                <c:pt idx="338">
                  <c:v>33.15172668621156</c:v>
                </c:pt>
                <c:pt idx="339">
                  <c:v>33.138994624985081</c:v>
                </c:pt>
                <c:pt idx="340">
                  <c:v>33.126345720325709</c:v>
                </c:pt>
                <c:pt idx="341">
                  <c:v>33.113779837982598</c:v>
                </c:pt>
                <c:pt idx="342">
                  <c:v>33.101296844941714</c:v>
                </c:pt>
                <c:pt idx="343">
                  <c:v>33.088896609433554</c:v>
                </c:pt>
                <c:pt idx="344">
                  <c:v>33.076579000940718</c:v>
                </c:pt>
                <c:pt idx="345">
                  <c:v>33.064343890205578</c:v>
                </c:pt>
                <c:pt idx="346">
                  <c:v>33.052191149237856</c:v>
                </c:pt>
                <c:pt idx="347">
                  <c:v>33.040120651322226</c:v>
                </c:pt>
                <c:pt idx="348">
                  <c:v>33.028132271025861</c:v>
                </c:pt>
                <c:pt idx="349">
                  <c:v>33.016225884206008</c:v>
                </c:pt>
                <c:pt idx="350">
                  <c:v>33.004401368017525</c:v>
                </c:pt>
                <c:pt idx="351">
                  <c:v>32.992658600920414</c:v>
                </c:pt>
                <c:pt idx="352">
                  <c:v>32.980997462687334</c:v>
                </c:pt>
                <c:pt idx="353">
                  <c:v>32.969417834411175</c:v>
                </c:pt>
                <c:pt idx="354">
                  <c:v>32.95791959851249</c:v>
                </c:pt>
                <c:pt idx="355">
                  <c:v>32.946502638747077</c:v>
                </c:pt>
                <c:pt idx="356">
                  <c:v>32.935166840213462</c:v>
                </c:pt>
                <c:pt idx="357">
                  <c:v>32.923912089360392</c:v>
                </c:pt>
                <c:pt idx="358">
                  <c:v>32.912738273994407</c:v>
                </c:pt>
                <c:pt idx="359">
                  <c:v>32.901645283287266</c:v>
                </c:pt>
                <c:pt idx="360">
                  <c:v>32.89063300778357</c:v>
                </c:pt>
                <c:pt idx="361">
                  <c:v>32.879701339408221</c:v>
                </c:pt>
                <c:pt idx="362">
                  <c:v>32.868850171473973</c:v>
                </c:pt>
                <c:pt idx="363">
                  <c:v>32.858079398689021</c:v>
                </c:pt>
                <c:pt idx="364">
                  <c:v>32.84738891716453</c:v>
                </c:pt>
                <c:pt idx="365">
                  <c:v>32.836778624422202</c:v>
                </c:pt>
                <c:pt idx="366">
                  <c:v>32.8262484194019</c:v>
                </c:pt>
                <c:pt idx="367">
                  <c:v>32.815798202469225</c:v>
                </c:pt>
                <c:pt idx="368">
                  <c:v>32.805427875423213</c:v>
                </c:pt>
                <c:pt idx="369">
                  <c:v>32.795137341503889</c:v>
                </c:pt>
                <c:pt idx="370">
                  <c:v>32.784926505400044</c:v>
                </c:pt>
                <c:pt idx="371">
                  <c:v>32.774795273256842</c:v>
                </c:pt>
                <c:pt idx="372">
                  <c:v>32.764743552683626</c:v>
                </c:pt>
                <c:pt idx="373">
                  <c:v>32.754771252761628</c:v>
                </c:pt>
                <c:pt idx="374">
                  <c:v>32.744878284051779</c:v>
                </c:pt>
                <c:pt idx="375">
                  <c:v>32.735064558602517</c:v>
                </c:pt>
                <c:pt idx="376">
                  <c:v>32.725329989957636</c:v>
                </c:pt>
                <c:pt idx="377">
                  <c:v>32.715674493164194</c:v>
                </c:pt>
                <c:pt idx="378">
                  <c:v>32.706097984780421</c:v>
                </c:pt>
                <c:pt idx="379">
                  <c:v>32.696600382883709</c:v>
                </c:pt>
                <c:pt idx="380">
                  <c:v>32.687181607078593</c:v>
                </c:pt>
                <c:pt idx="381">
                  <c:v>32.67784157850484</c:v>
                </c:pt>
                <c:pt idx="382">
                  <c:v>32.668580219845502</c:v>
                </c:pt>
                <c:pt idx="383">
                  <c:v>32.659397455335103</c:v>
                </c:pt>
                <c:pt idx="384">
                  <c:v>32.650293210767813</c:v>
                </c:pt>
                <c:pt idx="385">
                  <c:v>32.641267413505695</c:v>
                </c:pt>
                <c:pt idx="386">
                  <c:v>32.63231999248702</c:v>
                </c:pt>
                <c:pt idx="387">
                  <c:v>32.623450878234593</c:v>
                </c:pt>
                <c:pt idx="388">
                  <c:v>32.614660002864184</c:v>
                </c:pt>
                <c:pt idx="389">
                  <c:v>32.605947300093014</c:v>
                </c:pt>
                <c:pt idx="390">
                  <c:v>32.597312705248257</c:v>
                </c:pt>
                <c:pt idx="391">
                  <c:v>32.588756155275647</c:v>
                </c:pt>
                <c:pt idx="392">
                  <c:v>32.580277588748125</c:v>
                </c:pt>
                <c:pt idx="393">
                  <c:v>32.571876945874614</c:v>
                </c:pt>
                <c:pt idx="394">
                  <c:v>32.563554168508752</c:v>
                </c:pt>
                <c:pt idx="395">
                  <c:v>32.555309200157808</c:v>
                </c:pt>
                <c:pt idx="396">
                  <c:v>32.547141985991601</c:v>
                </c:pt>
                <c:pt idx="397">
                  <c:v>32.539052472851516</c:v>
                </c:pt>
                <c:pt idx="398">
                  <c:v>32.531040609259605</c:v>
                </c:pt>
                <c:pt idx="399">
                  <c:v>32.523106345427777</c:v>
                </c:pt>
                <c:pt idx="400">
                  <c:v>32.515249633267032</c:v>
                </c:pt>
                <c:pt idx="401">
                  <c:v>32.5074704263968</c:v>
                </c:pt>
                <c:pt idx="402">
                  <c:v>32.499768680154389</c:v>
                </c:pt>
                <c:pt idx="403">
                  <c:v>32.492144351604487</c:v>
                </c:pt>
                <c:pt idx="404">
                  <c:v>32.484597399548775</c:v>
                </c:pt>
                <c:pt idx="405">
                  <c:v>32.477127784535632</c:v>
                </c:pt>
                <c:pt idx="406">
                  <c:v>32.469735468869899</c:v>
                </c:pt>
                <c:pt idx="407">
                  <c:v>32.462420416622827</c:v>
                </c:pt>
                <c:pt idx="408">
                  <c:v>32.455182593642022</c:v>
                </c:pt>
                <c:pt idx="409">
                  <c:v>32.448021967561573</c:v>
                </c:pt>
                <c:pt idx="410">
                  <c:v>32.44093850781222</c:v>
                </c:pt>
                <c:pt idx="411">
                  <c:v>32.433932185631711</c:v>
                </c:pt>
                <c:pt idx="412">
                  <c:v>32.42700297407518</c:v>
                </c:pt>
                <c:pt idx="413">
                  <c:v>32.420150848025678</c:v>
                </c:pt>
                <c:pt idx="414">
                  <c:v>32.413375784204852</c:v>
                </c:pt>
                <c:pt idx="415">
                  <c:v>32.406677761183673</c:v>
                </c:pt>
                <c:pt idx="416">
                  <c:v>32.400056759393337</c:v>
                </c:pt>
                <c:pt idx="417">
                  <c:v>32.393512761136272</c:v>
                </c:pt>
                <c:pt idx="418">
                  <c:v>32.387045750597238</c:v>
                </c:pt>
                <c:pt idx="419">
                  <c:v>32.380655713854644</c:v>
                </c:pt>
                <c:pt idx="420">
                  <c:v>32.374342638891875</c:v>
                </c:pt>
                <c:pt idx="421">
                  <c:v>32.368106515608837</c:v>
                </c:pt>
                <c:pt idx="422">
                  <c:v>32.361947335833626</c:v>
                </c:pt>
                <c:pt idx="423">
                  <c:v>32.355865093334316</c:v>
                </c:pt>
                <c:pt idx="424">
                  <c:v>32.349859783830901</c:v>
                </c:pt>
                <c:pt idx="425">
                  <c:v>32.343931405007346</c:v>
                </c:pt>
                <c:pt idx="426">
                  <c:v>32.338079956523863</c:v>
                </c:pt>
                <c:pt idx="427">
                  <c:v>32.332305440029266</c:v>
                </c:pt>
                <c:pt idx="428">
                  <c:v>32.3266078591735</c:v>
                </c:pt>
                <c:pt idx="429">
                  <c:v>32.320987219620335</c:v>
                </c:pt>
                <c:pt idx="430">
                  <c:v>32.315443529060211</c:v>
                </c:pt>
                <c:pt idx="431">
                  <c:v>32.309976797223264</c:v>
                </c:pt>
                <c:pt idx="432">
                  <c:v>32.304587035892482</c:v>
                </c:pt>
                <c:pt idx="433">
                  <c:v>32.299274258917038</c:v>
                </c:pt>
                <c:pt idx="434">
                  <c:v>32.294038482225865</c:v>
                </c:pt>
                <c:pt idx="435">
                  <c:v>32.288879723841269</c:v>
                </c:pt>
                <c:pt idx="436">
                  <c:v>32.283798003892862</c:v>
                </c:pt>
                <c:pt idx="437">
                  <c:v>32.278793344631566</c:v>
                </c:pt>
                <c:pt idx="438">
                  <c:v>32.273865770443884</c:v>
                </c:pt>
                <c:pt idx="439">
                  <c:v>32.269015307866333</c:v>
                </c:pt>
                <c:pt idx="440">
                  <c:v>32.264241985600009</c:v>
                </c:pt>
                <c:pt idx="441">
                  <c:v>32.259545834525454</c:v>
                </c:pt>
                <c:pt idx="442">
                  <c:v>32.254926887717652</c:v>
                </c:pt>
                <c:pt idx="443">
                  <c:v>32.25038518046123</c:v>
                </c:pt>
                <c:pt idx="444">
                  <c:v>32.245920750265924</c:v>
                </c:pt>
                <c:pt idx="445">
                  <c:v>32.24153363688216</c:v>
                </c:pt>
                <c:pt idx="446">
                  <c:v>32.237223882316925</c:v>
                </c:pt>
                <c:pt idx="447">
                  <c:v>32.232991530849873</c:v>
                </c:pt>
                <c:pt idx="448">
                  <c:v>32.228836629049532</c:v>
                </c:pt>
                <c:pt idx="449">
                  <c:v>32.22475922578991</c:v>
                </c:pt>
                <c:pt idx="450">
                  <c:v>32.220759372267182</c:v>
                </c:pt>
                <c:pt idx="451">
                  <c:v>32.216837122016678</c:v>
                </c:pt>
                <c:pt idx="452">
                  <c:v>32.212992530930144</c:v>
                </c:pt>
                <c:pt idx="453">
                  <c:v>32.209225657273166</c:v>
                </c:pt>
                <c:pt idx="454">
                  <c:v>32.2055365617029</c:v>
                </c:pt>
                <c:pt idx="455">
                  <c:v>32.201925307286032</c:v>
                </c:pt>
                <c:pt idx="456">
                  <c:v>32.198391959516997</c:v>
                </c:pt>
                <c:pt idx="457">
                  <c:v>32.194936586336475</c:v>
                </c:pt>
                <c:pt idx="458">
                  <c:v>32.19155925815015</c:v>
                </c:pt>
                <c:pt idx="459">
                  <c:v>32.188260047847663</c:v>
                </c:pt>
                <c:pt idx="460">
                  <c:v>32.185039030822018</c:v>
                </c:pt>
                <c:pt idx="461">
                  <c:v>32.181896284989065</c:v>
                </c:pt>
                <c:pt idx="462">
                  <c:v>32.178831890807409</c:v>
                </c:pt>
                <c:pt idx="463">
                  <c:v>32.175845931298554</c:v>
                </c:pt>
                <c:pt idx="464">
                  <c:v>32.172938492067345</c:v>
                </c:pt>
                <c:pt idx="465">
                  <c:v>32.170109661322755</c:v>
                </c:pt>
                <c:pt idx="466">
                  <c:v>32.167359529898896</c:v>
                </c:pt>
                <c:pt idx="467">
                  <c:v>32.164688191276426</c:v>
                </c:pt>
                <c:pt idx="468">
                  <c:v>32.162095741604212</c:v>
                </c:pt>
                <c:pt idx="469">
                  <c:v>32.159582279721363</c:v>
                </c:pt>
                <c:pt idx="470">
                  <c:v>32.157147907179557</c:v>
                </c:pt>
                <c:pt idx="471">
                  <c:v>32.154792728265761</c:v>
                </c:pt>
                <c:pt idx="472">
                  <c:v>32.152516850025179</c:v>
                </c:pt>
                <c:pt idx="473">
                  <c:v>32.150320382284683</c:v>
                </c:pt>
                <c:pt idx="474">
                  <c:v>32.1482034376765</c:v>
                </c:pt>
                <c:pt idx="475">
                  <c:v>32.146166131662319</c:v>
                </c:pt>
                <c:pt idx="476">
                  <c:v>32.14420858255771</c:v>
                </c:pt>
                <c:pt idx="477">
                  <c:v>32.142330911556961</c:v>
                </c:pt>
                <c:pt idx="478">
                  <c:v>32.140533242758295</c:v>
                </c:pt>
                <c:pt idx="479">
                  <c:v>32.138815703189437</c:v>
                </c:pt>
                <c:pt idx="480">
                  <c:v>32.1371784228336</c:v>
                </c:pt>
                <c:pt idx="481">
                  <c:v>32.135621534655868</c:v>
                </c:pt>
                <c:pt idx="482">
                  <c:v>32.134145174630021</c:v>
                </c:pt>
                <c:pt idx="483">
                  <c:v>32.132749481765686</c:v>
                </c:pt>
                <c:pt idx="484">
                  <c:v>32.131434598136011</c:v>
                </c:pt>
                <c:pt idx="485">
                  <c:v>32.130200668905722</c:v>
                </c:pt>
                <c:pt idx="486">
                  <c:v>32.129047842359626</c:v>
                </c:pt>
                <c:pt idx="487">
                  <c:v>32.12797626993153</c:v>
                </c:pt>
                <c:pt idx="488">
                  <c:v>32.126986106233694</c:v>
                </c:pt>
                <c:pt idx="489">
                  <c:v>32.126077509086649</c:v>
                </c:pt>
                <c:pt idx="490">
                  <c:v>32.125250639549591</c:v>
                </c:pt>
                <c:pt idx="491">
                  <c:v>32.124505661951147</c:v>
                </c:pt>
                <c:pt idx="492">
                  <c:v>32.123842743920726</c:v>
                </c:pt>
                <c:pt idx="493">
                  <c:v>32.123262056420295</c:v>
                </c:pt>
                <c:pt idx="494">
                  <c:v>32.122763773776725</c:v>
                </c:pt>
                <c:pt idx="495">
                  <c:v>32.122348073714619</c:v>
                </c:pt>
                <c:pt idx="496">
                  <c:v>32.122015137389646</c:v>
                </c:pt>
                <c:pt idx="497">
                  <c:v>32.121765149422465</c:v>
                </c:pt>
                <c:pt idx="498">
                  <c:v>32.121598297933161</c:v>
                </c:pt>
                <c:pt idx="499">
                  <c:v>32.121514774576255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A-4ED5-AD65-42D40CEE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点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の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座標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点</a:t>
                </a:r>
                <a:r>
                  <a:rPr lang="en-US" altLang="ja-JP" sz="1500"/>
                  <a:t>A</a:t>
                </a:r>
                <a:r>
                  <a:rPr lang="ja-JP" altLang="en-US" sz="1500"/>
                  <a:t>の</a:t>
                </a:r>
                <a:r>
                  <a:rPr lang="en-US" altLang="ja-JP" sz="1500"/>
                  <a:t>y</a:t>
                </a:r>
                <a:r>
                  <a:rPr lang="ja-JP" altLang="en-US" sz="1500"/>
                  <a:t>座標</a:t>
                </a:r>
                <a:r>
                  <a:rPr lang="en-US" altLang="ja-JP" sz="1500"/>
                  <a:t>q[mm]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入射光の角度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34419599207349"/>
          <c:y val="0.14221534592919069"/>
          <c:w val="0.84788042162139154"/>
          <c:h val="0.70123223674918045"/>
        </c:manualLayout>
      </c:layout>
      <c:scatterChart>
        <c:scatterStyle val="lineMarker"/>
        <c:varyColors val="0"/>
        <c:ser>
          <c:idx val="2"/>
          <c:order val="0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8D-4C8D-879B-FBCFE2CB1B6B}"/>
            </c:ext>
          </c:extLst>
        </c:ser>
        <c:ser>
          <c:idx val="3"/>
          <c:order val="1"/>
          <c:tx>
            <c:v>　</c:v>
          </c:tx>
          <c:spPr>
            <a:effectLst/>
          </c:spPr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8D-4C8D-879B-FBCFE2CB1B6B}"/>
            </c:ext>
          </c:extLst>
        </c:ser>
        <c:ser>
          <c:idx val="1"/>
          <c:order val="2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8D-4C8D-879B-FBCFE2CB1B6B}"/>
            </c:ext>
          </c:extLst>
        </c:ser>
        <c:ser>
          <c:idx val="0"/>
          <c:order val="3"/>
          <c:spPr>
            <a:effectLst/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3.530732012896512E+17</c:v>
                </c:pt>
                <c:pt idx="1">
                  <c:v>6849438.1483569471</c:v>
                </c:pt>
                <c:pt idx="2">
                  <c:v>1710481.4404694617</c:v>
                </c:pt>
                <c:pt idx="3">
                  <c:v>759385.66231532511</c:v>
                </c:pt>
                <c:pt idx="4">
                  <c:v>426692.08688623749</c:v>
                </c:pt>
                <c:pt idx="5">
                  <c:v>272789.30775739125</c:v>
                </c:pt>
                <c:pt idx="6">
                  <c:v>189234.68097779402</c:v>
                </c:pt>
                <c:pt idx="7">
                  <c:v>138882.05094506481</c:v>
                </c:pt>
                <c:pt idx="8">
                  <c:v>106219.5043533899</c:v>
                </c:pt>
                <c:pt idx="9">
                  <c:v>83838.660526837863</c:v>
                </c:pt>
                <c:pt idx="10">
                  <c:v>67838.698081209659</c:v>
                </c:pt>
                <c:pt idx="11">
                  <c:v>56007.130857410586</c:v>
                </c:pt>
                <c:pt idx="12">
                  <c:v>47013.265399276323</c:v>
                </c:pt>
                <c:pt idx="13">
                  <c:v>40017.820097387848</c:v>
                </c:pt>
                <c:pt idx="14">
                  <c:v>34470.237790267107</c:v>
                </c:pt>
                <c:pt idx="15">
                  <c:v>29997.221707635876</c:v>
                </c:pt>
                <c:pt idx="16">
                  <c:v>26338.422121197978</c:v>
                </c:pt>
                <c:pt idx="17">
                  <c:v>23307.784695856593</c:v>
                </c:pt>
                <c:pt idx="18">
                  <c:v>20769.492775919527</c:v>
                </c:pt>
                <c:pt idx="19">
                  <c:v>18622.530033428946</c:v>
                </c:pt>
                <c:pt idx="20">
                  <c:v>16790.506141173482</c:v>
                </c:pt>
                <c:pt idx="21">
                  <c:v>15214.79055138002</c:v>
                </c:pt>
                <c:pt idx="22">
                  <c:v>13849.779962608793</c:v>
                </c:pt>
                <c:pt idx="23">
                  <c:v>12659.5740863673</c:v>
                </c:pt>
                <c:pt idx="24">
                  <c:v>11615.600400554988</c:v>
                </c:pt>
                <c:pt idx="25">
                  <c:v>10694.890474294452</c:v>
                </c:pt>
                <c:pt idx="26">
                  <c:v>9878.8113394935226</c:v>
                </c:pt>
                <c:pt idx="27">
                  <c:v>9152.1196348656613</c:v>
                </c:pt>
                <c:pt idx="28">
                  <c:v>8502.2479802865309</c:v>
                </c:pt>
                <c:pt idx="29">
                  <c:v>7918.7606398065282</c:v>
                </c:pt>
                <c:pt idx="30">
                  <c:v>7392.9340911881527</c:v>
                </c:pt>
                <c:pt idx="31">
                  <c:v>6917.4307923351053</c:v>
                </c:pt>
                <c:pt idx="32">
                  <c:v>6486.043211277798</c:v>
                </c:pt>
                <c:pt idx="33">
                  <c:v>6093.4913445882448</c:v>
                </c:pt>
                <c:pt idx="34">
                  <c:v>5735.2613234243181</c:v>
                </c:pt>
                <c:pt idx="35">
                  <c:v>5407.4758491507046</c:v>
                </c:pt>
                <c:pt idx="36">
                  <c:v>5106.7894826623642</c:v>
                </c:pt>
                <c:pt idx="37">
                  <c:v>4830.3034853214895</c:v>
                </c:pt>
                <c:pt idx="38">
                  <c:v>4575.4961486777565</c:v>
                </c:pt>
                <c:pt idx="39">
                  <c:v>4340.1654757001743</c:v>
                </c:pt>
                <c:pt idx="40">
                  <c:v>4122.3817733760852</c:v>
                </c:pt>
                <c:pt idx="41">
                  <c:v>3920.4482457051022</c:v>
                </c:pt>
                <c:pt idx="42">
                  <c:v>3732.8680807746759</c:v>
                </c:pt>
                <c:pt idx="43">
                  <c:v>3558.316837285588</c:v>
                </c:pt>
                <c:pt idx="44">
                  <c:v>3395.6191775199054</c:v>
                </c:pt>
                <c:pt idx="45">
                  <c:v>3243.7291822724646</c:v>
                </c:pt>
                <c:pt idx="46">
                  <c:v>3101.7136312543039</c:v>
                </c:pt>
                <c:pt idx="47">
                  <c:v>2968.7377493086956</c:v>
                </c:pt>
                <c:pt idx="48">
                  <c:v>2844.053011520788</c:v>
                </c:pt>
                <c:pt idx="49">
                  <c:v>2726.9866743033108</c:v>
                </c:pt>
                <c:pt idx="50">
                  <c:v>2616.9327588949632</c:v>
                </c:pt>
                <c:pt idx="51">
                  <c:v>2513.3442615241675</c:v>
                </c:pt>
                <c:pt idx="52">
                  <c:v>2415.726403209158</c:v>
                </c:pt>
                <c:pt idx="53">
                  <c:v>2323.6307636360029</c:v>
                </c:pt>
                <c:pt idx="54">
                  <c:v>2236.6501692565948</c:v>
                </c:pt>
                <c:pt idx="55">
                  <c:v>2154.4142268170099</c:v>
                </c:pt>
                <c:pt idx="56">
                  <c:v>2076.5854108599083</c:v>
                </c:pt>
                <c:pt idx="57">
                  <c:v>2002.8556280720675</c:v>
                </c:pt>
                <c:pt idx="58">
                  <c:v>1932.9431932134701</c:v>
                </c:pt>
                <c:pt idx="59">
                  <c:v>1866.5901612483906</c:v>
                </c:pt>
                <c:pt idx="60">
                  <c:v>1803.5599685350262</c:v>
                </c:pt>
                <c:pt idx="61">
                  <c:v>1743.6353428391274</c:v>
                </c:pt>
                <c:pt idx="62">
                  <c:v>1686.6164477300965</c:v>
                </c:pt>
                <c:pt idx="63">
                  <c:v>1632.3192318046638</c:v>
                </c:pt>
                <c:pt idx="64">
                  <c:v>1580.5739573093881</c:v>
                </c:pt>
                <c:pt idx="65">
                  <c:v>1531.2238862295744</c:v>
                </c:pt>
                <c:pt idx="66">
                  <c:v>1484.1241048823254</c:v>
                </c:pt>
                <c:pt idx="67">
                  <c:v>1439.1404705817297</c:v>
                </c:pt>
                <c:pt idx="68">
                  <c:v>1396.1486661053953</c:v>
                </c:pt>
                <c:pt idx="69">
                  <c:v>1355.0333495393145</c:v>
                </c:pt>
                <c:pt idx="70">
                  <c:v>1315.6873886667918</c:v>
                </c:pt>
                <c:pt idx="71">
                  <c:v>1278.0111704313958</c:v>
                </c:pt>
                <c:pt idx="72">
                  <c:v>1241.9119771803221</c:v>
                </c:pt>
                <c:pt idx="73">
                  <c:v>1207.3034224110208</c:v>
                </c:pt>
                <c:pt idx="74">
                  <c:v>1174.1049396240278</c:v>
                </c:pt>
                <c:pt idx="75">
                  <c:v>1142.2413186480039</c:v>
                </c:pt>
                <c:pt idx="76">
                  <c:v>1111.6422844662916</c:v>
                </c:pt>
                <c:pt idx="77">
                  <c:v>1082.2421141524085</c:v>
                </c:pt>
                <c:pt idx="78">
                  <c:v>1053.9792880255955</c:v>
                </c:pt>
                <c:pt idx="79">
                  <c:v>1026.7961715784363</c:v>
                </c:pt>
                <c:pt idx="80">
                  <c:v>1000.6387251145626</c:v>
                </c:pt>
                <c:pt idx="81">
                  <c:v>975.45623837242181</c:v>
                </c:pt>
                <c:pt idx="82">
                  <c:v>951.20108770909383</c:v>
                </c:pt>
                <c:pt idx="83">
                  <c:v>927.82851367977651</c:v>
                </c:pt>
                <c:pt idx="84">
                  <c:v>905.29641707888175</c:v>
                </c:pt>
                <c:pt idx="85">
                  <c:v>883.56517171334872</c:v>
                </c:pt>
                <c:pt idx="86">
                  <c:v>862.59745235779167</c:v>
                </c:pt>
                <c:pt idx="87">
                  <c:v>842.35807650203094</c:v>
                </c:pt>
                <c:pt idx="88">
                  <c:v>822.81385864178378</c:v>
                </c:pt>
                <c:pt idx="89">
                  <c:v>803.93347598996638</c:v>
                </c:pt>
                <c:pt idx="90">
                  <c:v>785.6873445972617</c:v>
                </c:pt>
                <c:pt idx="91">
                  <c:v>768.04750497060184</c:v>
                </c:pt>
                <c:pt idx="92">
                  <c:v>750.98751636662678</c:v>
                </c:pt>
                <c:pt idx="93">
                  <c:v>734.48235901680687</c:v>
                </c:pt>
                <c:pt idx="94">
                  <c:v>718.5083436115566</c:v>
                </c:pt>
                <c:pt idx="95">
                  <c:v>703.04302743430003</c:v>
                </c:pt>
                <c:pt idx="96">
                  <c:v>688.0651365932639</c:v>
                </c:pt>
                <c:pt idx="97">
                  <c:v>673.55449384975998</c:v>
                </c:pt>
                <c:pt idx="98">
                  <c:v>659.49195158768282</c:v>
                </c:pt>
                <c:pt idx="99">
                  <c:v>645.85932951012535</c:v>
                </c:pt>
                <c:pt idx="100">
                  <c:v>632.63935668610861</c:v>
                </c:pt>
                <c:pt idx="101">
                  <c:v>619.81561760401212</c:v>
                </c:pt>
                <c:pt idx="102">
                  <c:v>607.37250191832879</c:v>
                </c:pt>
                <c:pt idx="103">
                  <c:v>595.29515760384072</c:v>
                </c:pt>
                <c:pt idx="104">
                  <c:v>583.56944725580024</c:v>
                </c:pt>
                <c:pt idx="105">
                  <c:v>572.18190729710727</c:v>
                </c:pt>
                <c:pt idx="106">
                  <c:v>561.11970987374866</c:v>
                </c:pt>
                <c:pt idx="107">
                  <c:v>550.37062723803376</c:v>
                </c:pt>
                <c:pt idx="108">
                  <c:v>539.92299843579156</c:v>
                </c:pt>
                <c:pt idx="109">
                  <c:v>529.76569812893467</c:v>
                </c:pt>
                <c:pt idx="110">
                  <c:v>519.88810739844507</c:v>
                </c:pt>
                <c:pt idx="111">
                  <c:v>510.28008638542821</c:v>
                </c:pt>
                <c:pt idx="112">
                  <c:v>500.93194863922577</c:v>
                </c:pt>
                <c:pt idx="113">
                  <c:v>491.83443705203865</c:v>
                </c:pt>
                <c:pt idx="114">
                  <c:v>482.97870126900705</c:v>
                </c:pt>
                <c:pt idx="115">
                  <c:v>474.356276471282</c:v>
                </c:pt>
                <c:pt idx="116">
                  <c:v>465.9590634376288</c:v>
                </c:pt>
                <c:pt idx="117">
                  <c:v>457.77930979734674</c:v>
                </c:pt>
                <c:pt idx="118">
                  <c:v>449.80959239388108</c:v>
                </c:pt>
                <c:pt idx="119">
                  <c:v>442.04280068461054</c:v>
                </c:pt>
                <c:pt idx="120">
                  <c:v>434.47212110786541</c:v>
                </c:pt>
                <c:pt idx="121">
                  <c:v>427.091022353357</c:v>
                </c:pt>
                <c:pt idx="122">
                  <c:v>419.89324147687944</c:v>
                </c:pt>
                <c:pt idx="123">
                  <c:v>412.87277080447058</c:v>
                </c:pt>
                <c:pt idx="124">
                  <c:v>406.02384557519184</c:v>
                </c:pt>
                <c:pt idx="125">
                  <c:v>399.34093227532804</c:v>
                </c:pt>
                <c:pt idx="126">
                  <c:v>392.81871762016993</c:v>
                </c:pt>
                <c:pt idx="127">
                  <c:v>386.45209814268247</c:v>
                </c:pt>
                <c:pt idx="128">
                  <c:v>380.2361703511466</c:v>
                </c:pt>
                <c:pt idx="129">
                  <c:v>374.16622142057321</c:v>
                </c:pt>
                <c:pt idx="130">
                  <c:v>368.23772038505518</c:v>
                </c:pt>
                <c:pt idx="131">
                  <c:v>362.44630980055547</c:v>
                </c:pt>
                <c:pt idx="132">
                  <c:v>356.78779784959517</c:v>
                </c:pt>
                <c:pt idx="133">
                  <c:v>351.25815086135634</c:v>
                </c:pt>
                <c:pt idx="134">
                  <c:v>345.8534862223791</c:v>
                </c:pt>
                <c:pt idx="135">
                  <c:v>340.57006565477769</c:v>
                </c:pt>
                <c:pt idx="136">
                  <c:v>335.40428884032059</c:v>
                </c:pt>
                <c:pt idx="137">
                  <c:v>330.35268737028679</c:v>
                </c:pt>
                <c:pt idx="138">
                  <c:v>325.41191900214022</c:v>
                </c:pt>
                <c:pt idx="139">
                  <c:v>320.57876220544375</c:v>
                </c:pt>
                <c:pt idx="140">
                  <c:v>315.85011098047403</c:v>
                </c:pt>
                <c:pt idx="141">
                  <c:v>311.22296993408293</c:v>
                </c:pt>
                <c:pt idx="142">
                  <c:v>306.69444959833112</c:v>
                </c:pt>
                <c:pt idx="143">
                  <c:v>302.26176197830881</c:v>
                </c:pt>
                <c:pt idx="144">
                  <c:v>297.92221631643343</c:v>
                </c:pt>
                <c:pt idx="145">
                  <c:v>293.67321506128985</c:v>
                </c:pt>
                <c:pt idx="146">
                  <c:v>289.51225002979857</c:v>
                </c:pt>
                <c:pt idx="147">
                  <c:v>285.43689875220321</c:v>
                </c:pt>
                <c:pt idx="148">
                  <c:v>281.44482099002096</c:v>
                </c:pt>
                <c:pt idx="149">
                  <c:v>277.53375541764075</c:v>
                </c:pt>
                <c:pt idx="150">
                  <c:v>273.7015164588617</c:v>
                </c:pt>
                <c:pt idx="151">
                  <c:v>269.94599127017761</c:v>
                </c:pt>
                <c:pt idx="152">
                  <c:v>266.26513686306106</c:v>
                </c:pt>
                <c:pt idx="153">
                  <c:v>262.65697735801177</c:v>
                </c:pt>
                <c:pt idx="154">
                  <c:v>259.11960136349813</c:v>
                </c:pt>
                <c:pt idx="155">
                  <c:v>255.6511594733665</c:v>
                </c:pt>
                <c:pt idx="156">
                  <c:v>252.24986187663637</c:v>
                </c:pt>
                <c:pt idx="157">
                  <c:v>248.91397607395996</c:v>
                </c:pt>
                <c:pt idx="158">
                  <c:v>245.64182469534273</c:v>
                </c:pt>
                <c:pt idx="159">
                  <c:v>242.43178341402734</c:v>
                </c:pt>
                <c:pt idx="160">
                  <c:v>239.28227895174544</c:v>
                </c:pt>
                <c:pt idx="161">
                  <c:v>236.19178717078285</c:v>
                </c:pt>
                <c:pt idx="162">
                  <c:v>233.15883124857942</c:v>
                </c:pt>
                <c:pt idx="163">
                  <c:v>230.18197993081191</c:v>
                </c:pt>
                <c:pt idx="164">
                  <c:v>227.25984585912923</c:v>
                </c:pt>
                <c:pt idx="165">
                  <c:v>224.39108396991597</c:v>
                </c:pt>
                <c:pt idx="166">
                  <c:v>221.57438996067273</c:v>
                </c:pt>
                <c:pt idx="167">
                  <c:v>218.80849882075941</c:v>
                </c:pt>
                <c:pt idx="168">
                  <c:v>216.0921834234442</c:v>
                </c:pt>
                <c:pt idx="169">
                  <c:v>213.42425317635477</c:v>
                </c:pt>
                <c:pt idx="170">
                  <c:v>210.80355272757782</c:v>
                </c:pt>
                <c:pt idx="171">
                  <c:v>208.228960724806</c:v>
                </c:pt>
                <c:pt idx="172">
                  <c:v>205.69938862506871</c:v>
                </c:pt>
                <c:pt idx="173">
                  <c:v>203.2137795526894</c:v>
                </c:pt>
                <c:pt idx="174">
                  <c:v>200.77110720327806</c:v>
                </c:pt>
                <c:pt idx="175">
                  <c:v>198.3703747916241</c:v>
                </c:pt>
                <c:pt idx="176">
                  <c:v>196.01061404151645</c:v>
                </c:pt>
                <c:pt idx="177">
                  <c:v>193.69088421558146</c:v>
                </c:pt>
                <c:pt idx="178">
                  <c:v>191.41027118334213</c:v>
                </c:pt>
                <c:pt idx="179">
                  <c:v>189.16788652579083</c:v>
                </c:pt>
                <c:pt idx="180">
                  <c:v>186.96286667485188</c:v>
                </c:pt>
                <c:pt idx="181">
                  <c:v>184.79437208618555</c:v>
                </c:pt>
                <c:pt idx="182">
                  <c:v>182.66158644387534</c:v>
                </c:pt>
                <c:pt idx="183">
                  <c:v>180.56371589559419</c:v>
                </c:pt>
                <c:pt idx="184">
                  <c:v>178.49998831693344</c:v>
                </c:pt>
                <c:pt idx="185">
                  <c:v>176.46965260361881</c:v>
                </c:pt>
                <c:pt idx="186">
                  <c:v>174.47197799043028</c:v>
                </c:pt>
                <c:pt idx="187">
                  <c:v>172.50625339566432</c:v>
                </c:pt>
                <c:pt idx="188">
                  <c:v>170.57178679006532</c:v>
                </c:pt>
                <c:pt idx="189">
                  <c:v>168.66790458917896</c:v>
                </c:pt>
                <c:pt idx="190">
                  <c:v>166.79395106814744</c:v>
                </c:pt>
                <c:pt idx="191">
                  <c:v>164.94928779799983</c:v>
                </c:pt>
                <c:pt idx="192">
                  <c:v>163.13329310254471</c:v>
                </c:pt>
                <c:pt idx="193">
                  <c:v>161.34536153501108</c:v>
                </c:pt>
                <c:pt idx="194">
                  <c:v>159.58490337361434</c:v>
                </c:pt>
                <c:pt idx="195">
                  <c:v>157.8513441352832</c:v>
                </c:pt>
                <c:pt idx="196">
                  <c:v>156.14412410679012</c:v>
                </c:pt>
                <c:pt idx="197">
                  <c:v>154.46269789259239</c:v>
                </c:pt>
                <c:pt idx="198">
                  <c:v>152.80653397869375</c:v>
                </c:pt>
                <c:pt idx="199">
                  <c:v>151.17511431189422</c:v>
                </c:pt>
                <c:pt idx="200">
                  <c:v>149.56793389380201</c:v>
                </c:pt>
                <c:pt idx="201">
                  <c:v>147.98450038902479</c:v>
                </c:pt>
                <c:pt idx="202">
                  <c:v>146.42433374697552</c:v>
                </c:pt>
                <c:pt idx="203">
                  <c:v>144.88696583675684</c:v>
                </c:pt>
                <c:pt idx="204">
                  <c:v>143.37194009460907</c:v>
                </c:pt>
                <c:pt idx="205">
                  <c:v>141.87881118342963</c:v>
                </c:pt>
                <c:pt idx="206">
                  <c:v>140.40714466390014</c:v>
                </c:pt>
                <c:pt idx="207">
                  <c:v>138.9565166767625</c:v>
                </c:pt>
                <c:pt idx="208">
                  <c:v>137.52651363582299</c:v>
                </c:pt>
                <c:pt idx="209">
                  <c:v>136.11673193126853</c:v>
                </c:pt>
                <c:pt idx="210">
                  <c:v>134.72677764290322</c:v>
                </c:pt>
                <c:pt idx="211">
                  <c:v>133.35626626292455</c:v>
                </c:pt>
                <c:pt idx="212">
                  <c:v>132.00482242788806</c:v>
                </c:pt>
                <c:pt idx="213">
                  <c:v>130.67207965950115</c:v>
                </c:pt>
                <c:pt idx="214">
                  <c:v>129.35768011392798</c:v>
                </c:pt>
                <c:pt idx="215">
                  <c:v>128.06127433928003</c:v>
                </c:pt>
                <c:pt idx="216">
                  <c:v>126.78252104099276</c:v>
                </c:pt>
                <c:pt idx="217">
                  <c:v>125.5210868547933</c:v>
                </c:pt>
                <c:pt idx="218">
                  <c:v>124.27664612698553</c:v>
                </c:pt>
                <c:pt idx="219">
                  <c:v>123.04888070177823</c:v>
                </c:pt>
                <c:pt idx="220">
                  <c:v>121.83747971540546</c:v>
                </c:pt>
                <c:pt idx="221">
                  <c:v>120.64213939678756</c:v>
                </c:pt>
                <c:pt idx="222">
                  <c:v>119.46256287450116</c:v>
                </c:pt>
                <c:pt idx="223">
                  <c:v>118.29845998982938</c:v>
                </c:pt>
                <c:pt idx="224">
                  <c:v>117.14954711567131</c:v>
                </c:pt>
                <c:pt idx="225">
                  <c:v>116.0155469811103</c:v>
                </c:pt>
                <c:pt idx="226">
                  <c:v>114.8961885014299</c:v>
                </c:pt>
                <c:pt idx="227">
                  <c:v>113.79120661339425</c:v>
                </c:pt>
                <c:pt idx="228">
                  <c:v>112.70034211560102</c:v>
                </c:pt>
                <c:pt idx="229">
                  <c:v>111.62334151373373</c:v>
                </c:pt>
                <c:pt idx="230">
                  <c:v>110.55995687053901</c:v>
                </c:pt>
                <c:pt idx="231">
                  <c:v>109.50994566036908</c:v>
                </c:pt>
                <c:pt idx="232">
                  <c:v>108.47307062812585</c:v>
                </c:pt>
                <c:pt idx="233">
                  <c:v>107.44909965246147</c:v>
                </c:pt>
                <c:pt idx="234">
                  <c:v>106.43780561308398</c:v>
                </c:pt>
                <c:pt idx="235">
                  <c:v>105.43896626203181</c:v>
                </c:pt>
                <c:pt idx="236">
                  <c:v>104.45236409877944</c:v>
                </c:pt>
                <c:pt idx="237">
                  <c:v>103.47778624904691</c:v>
                </c:pt>
                <c:pt idx="238">
                  <c:v>102.51502434718577</c:v>
                </c:pt>
                <c:pt idx="239">
                  <c:v>101.56387442202441</c:v>
                </c:pt>
                <c:pt idx="240">
                  <c:v>100.62413678605419</c:v>
                </c:pt>
                <c:pt idx="241">
                  <c:v>99.695615927847456</c:v>
                </c:pt>
                <c:pt idx="242">
                  <c:v>98.778120407598223</c:v>
                </c:pt>
                <c:pt idx="243">
                  <c:v>97.871462755684462</c:v>
                </c:pt>
                <c:pt idx="244">
                  <c:v>96.975459374151455</c:v>
                </c:pt>
                <c:pt idx="245">
                  <c:v>96.08993044102003</c:v>
                </c:pt>
                <c:pt idx="246">
                  <c:v>95.214699817328878</c:v>
                </c:pt>
                <c:pt idx="247">
                  <c:v>94.349594956821619</c:v>
                </c:pt>
                <c:pt idx="248">
                  <c:v>93.494446818191093</c:v>
                </c:pt>
                <c:pt idx="249">
                  <c:v>92.649089779803717</c:v>
                </c:pt>
                <c:pt idx="250">
                  <c:v>91.813361556816304</c:v>
                </c:pt>
                <c:pt idx="251">
                  <c:v>90.987103120616922</c:v>
                </c:pt>
                <c:pt idx="252">
                  <c:v>90.170158620510108</c:v>
                </c:pt>
                <c:pt idx="253">
                  <c:v>89.362375307577807</c:v>
                </c:pt>
                <c:pt idx="254">
                  <c:v>88.563603460646746</c:v>
                </c:pt>
                <c:pt idx="255">
                  <c:v>87.773696314295663</c:v>
                </c:pt>
                <c:pt idx="256">
                  <c:v>86.992509988838734</c:v>
                </c:pt>
                <c:pt idx="257">
                  <c:v>86.219903422222671</c:v>
                </c:pt>
                <c:pt idx="258">
                  <c:v>85.455738303780052</c:v>
                </c:pt>
                <c:pt idx="259">
                  <c:v>84.699879009777405</c:v>
                </c:pt>
                <c:pt idx="260">
                  <c:v>83.952192540708154</c:v>
                </c:pt>
                <c:pt idx="261">
                  <c:v>83.212548460270426</c:v>
                </c:pt>
                <c:pt idx="262">
                  <c:v>82.480818835983783</c:v>
                </c:pt>
                <c:pt idx="263">
                  <c:v>81.756878181389908</c:v>
                </c:pt>
                <c:pt idx="264">
                  <c:v>81.040603399794591</c:v>
                </c:pt>
                <c:pt idx="265">
                  <c:v>80.331873729497261</c:v>
                </c:pt>
                <c:pt idx="266">
                  <c:v>79.63057069047025</c:v>
                </c:pt>
                <c:pt idx="267">
                  <c:v>78.936578032438945</c:v>
                </c:pt>
                <c:pt idx="268">
                  <c:v>78.249781684323494</c:v>
                </c:pt>
                <c:pt idx="269">
                  <c:v>77.570069705001018</c:v>
                </c:pt>
                <c:pt idx="270">
                  <c:v>76.897332235347207</c:v>
                </c:pt>
                <c:pt idx="271">
                  <c:v>76.231461451522634</c:v>
                </c:pt>
                <c:pt idx="272">
                  <c:v>75.572351519464121</c:v>
                </c:pt>
                <c:pt idx="273">
                  <c:v>74.919898550546804</c:v>
                </c:pt>
                <c:pt idx="274">
                  <c:v>74.274000558382753</c:v>
                </c:pt>
                <c:pt idx="275">
                  <c:v>73.634557416722416</c:v>
                </c:pt>
                <c:pt idx="276">
                  <c:v>73.001470818426711</c:v>
                </c:pt>
                <c:pt idx="277">
                  <c:v>72.374644235480019</c:v>
                </c:pt>
                <c:pt idx="278">
                  <c:v>71.753982880011435</c:v>
                </c:pt>
                <c:pt idx="279">
                  <c:v>71.139393666297693</c:v>
                </c:pt>
                <c:pt idx="280">
                  <c:v>70.530785173717931</c:v>
                </c:pt>
                <c:pt idx="281">
                  <c:v>69.928067610634329</c:v>
                </c:pt>
                <c:pt idx="282">
                  <c:v>69.331152779170395</c:v>
                </c:pt>
                <c:pt idx="283">
                  <c:v>68.739954040864163</c:v>
                </c:pt>
                <c:pt idx="284">
                  <c:v>68.154386283167455</c:v>
                </c:pt>
                <c:pt idx="285">
                  <c:v>67.574365886772711</c:v>
                </c:pt>
                <c:pt idx="286">
                  <c:v>66.999810693737643</c:v>
                </c:pt>
                <c:pt idx="287">
                  <c:v>66.430639976392285</c:v>
                </c:pt>
                <c:pt idx="288">
                  <c:v>65.86677440699998</c:v>
                </c:pt>
                <c:pt idx="289">
                  <c:v>65.308136028156454</c:v>
                </c:pt>
                <c:pt idx="290">
                  <c:v>64.75464822390299</c:v>
                </c:pt>
                <c:pt idx="291">
                  <c:v>64.206235691536449</c:v>
                </c:pt>
                <c:pt idx="292">
                  <c:v>63.662824414094622</c:v>
                </c:pt>
                <c:pt idx="293">
                  <c:v>63.124341633500812</c:v>
                </c:pt>
                <c:pt idx="294">
                  <c:v>62.590715824346944</c:v>
                </c:pt>
                <c:pt idx="295">
                  <c:v>62.061876668299632</c:v>
                </c:pt>
                <c:pt idx="296">
                  <c:v>61.537755029112148</c:v>
                </c:pt>
                <c:pt idx="297">
                  <c:v>61.018282928224352</c:v>
                </c:pt>
                <c:pt idx="298">
                  <c:v>60.5033935209361</c:v>
                </c:pt>
                <c:pt idx="299">
                  <c:v>59.993021073138827</c:v>
                </c:pt>
                <c:pt idx="300">
                  <c:v>59.487100938588561</c:v>
                </c:pt>
                <c:pt idx="301">
                  <c:v>58.985569536707843</c:v>
                </c:pt>
                <c:pt idx="302">
                  <c:v>58.488364330900886</c:v>
                </c:pt>
                <c:pt idx="303">
                  <c:v>57.995423807369598</c:v>
                </c:pt>
                <c:pt idx="304">
                  <c:v>57.506687454416095</c:v>
                </c:pt>
                <c:pt idx="305">
                  <c:v>57.022095742218809</c:v>
                </c:pt>
                <c:pt idx="306">
                  <c:v>56.541590103071364</c:v>
                </c:pt>
                <c:pt idx="307">
                  <c:v>56.065112912069218</c:v>
                </c:pt>
                <c:pt idx="308">
                  <c:v>55.592607468235087</c:v>
                </c:pt>
                <c:pt idx="309">
                  <c:v>55.124017976069631</c:v>
                </c:pt>
                <c:pt idx="310">
                  <c:v>54.659289527517387</c:v>
                </c:pt>
                <c:pt idx="311">
                  <c:v>54.198368084337105</c:v>
                </c:pt>
                <c:pt idx="312">
                  <c:v>53.741200460865116</c:v>
                </c:pt>
                <c:pt idx="313">
                  <c:v>53.287734307162935</c:v>
                </c:pt>
                <c:pt idx="314">
                  <c:v>52.837918092537571</c:v>
                </c:pt>
                <c:pt idx="315">
                  <c:v>52.391701089426562</c:v>
                </c:pt>
                <c:pt idx="316">
                  <c:v>51.949033357637155</c:v>
                </c:pt>
                <c:pt idx="317">
                  <c:v>51.509865728931189</c:v>
                </c:pt>
                <c:pt idx="318">
                  <c:v>51.074149791946418</c:v>
                </c:pt>
                <c:pt idx="319">
                  <c:v>50.641837877446505</c:v>
                </c:pt>
                <c:pt idx="320">
                  <c:v>50.212883043890059</c:v>
                </c:pt>
                <c:pt idx="321">
                  <c:v>49.787239063312356</c:v>
                </c:pt>
                <c:pt idx="322">
                  <c:v>49.364860407509603</c:v>
                </c:pt>
                <c:pt idx="323">
                  <c:v>48.945702234520532</c:v>
                </c:pt>
                <c:pt idx="324">
                  <c:v>48.529720375395989</c:v>
                </c:pt>
                <c:pt idx="325">
                  <c:v>48.116871321250279</c:v>
                </c:pt>
                <c:pt idx="326">
                  <c:v>47.707112210586715</c:v>
                </c:pt>
                <c:pt idx="327">
                  <c:v>47.300400816891241</c:v>
                </c:pt>
                <c:pt idx="328">
                  <c:v>46.896695536486156</c:v>
                </c:pt>
                <c:pt idx="329">
                  <c:v>46.495955376638925</c:v>
                </c:pt>
                <c:pt idx="330">
                  <c:v>46.098139943918966</c:v>
                </c:pt>
                <c:pt idx="331">
                  <c:v>45.703209432796029</c:v>
                </c:pt>
                <c:pt idx="332">
                  <c:v>45.311124614475361</c:v>
                </c:pt>
                <c:pt idx="333">
                  <c:v>44.921846825962</c:v>
                </c:pt>
                <c:pt idx="334">
                  <c:v>44.535337959350564</c:v>
                </c:pt>
                <c:pt idx="335">
                  <c:v>44.15156045133358</c:v>
                </c:pt>
                <c:pt idx="336">
                  <c:v>43.770477272923415</c:v>
                </c:pt>
                <c:pt idx="337">
                  <c:v>43.392051919383128</c:v>
                </c:pt>
                <c:pt idx="338">
                  <c:v>43.016248400359615</c:v>
                </c:pt>
                <c:pt idx="339">
                  <c:v>42.643031230216849</c:v>
                </c:pt>
                <c:pt idx="340">
                  <c:v>42.272365418560859</c:v>
                </c:pt>
                <c:pt idx="341">
                  <c:v>41.904216460954771</c:v>
                </c:pt>
                <c:pt idx="342">
                  <c:v>41.538550329817795</c:v>
                </c:pt>
                <c:pt idx="343">
                  <c:v>41.175333465504046</c:v>
                </c:pt>
                <c:pt idx="344">
                  <c:v>40.814532767556727</c:v>
                </c:pt>
                <c:pt idx="345">
                  <c:v>40.456115586133947</c:v>
                </c:pt>
                <c:pt idx="346">
                  <c:v>40.10004971360118</c:v>
                </c:pt>
                <c:pt idx="347">
                  <c:v>39.746303376287244</c:v>
                </c:pt>
                <c:pt idx="348">
                  <c:v>39.394845226399212</c:v>
                </c:pt>
                <c:pt idx="349">
                  <c:v>39.04564433409292</c:v>
                </c:pt>
                <c:pt idx="350">
                  <c:v>38.69867017969473</c:v>
                </c:pt>
                <c:pt idx="351">
                  <c:v>38.353892646071628</c:v>
                </c:pt>
                <c:pt idx="352">
                  <c:v>38.011282011145838</c:v>
                </c:pt>
                <c:pt idx="353">
                  <c:v>37.670808940550003</c:v>
                </c:pt>
                <c:pt idx="354">
                  <c:v>37.332444480420506</c:v>
                </c:pt>
                <c:pt idx="355">
                  <c:v>36.996160050324562</c:v>
                </c:pt>
                <c:pt idx="356">
                  <c:v>36.661927436319026</c:v>
                </c:pt>
                <c:pt idx="357">
                  <c:v>36.329718784136752</c:v>
                </c:pt>
                <c:pt idx="358">
                  <c:v>35.99950659249803</c:v>
                </c:pt>
                <c:pt idx="359">
                  <c:v>35.671263706543826</c:v>
                </c:pt>
                <c:pt idx="360">
                  <c:v>35.344963311388533</c:v>
                </c:pt>
                <c:pt idx="361">
                  <c:v>35.020578925787973</c:v>
                </c:pt>
                <c:pt idx="362">
                  <c:v>34.698084395921811</c:v>
                </c:pt>
                <c:pt idx="363">
                  <c:v>34.377453889285874</c:v>
                </c:pt>
                <c:pt idx="364">
                  <c:v>34.058661888693052</c:v>
                </c:pt>
                <c:pt idx="365">
                  <c:v>33.741683186379099</c:v>
                </c:pt>
                <c:pt idx="366">
                  <c:v>33.426492878211818</c:v>
                </c:pt>
                <c:pt idx="367">
                  <c:v>33.11306635800031</c:v>
                </c:pt>
                <c:pt idx="368">
                  <c:v>32.801379311902565</c:v>
                </c:pt>
                <c:pt idx="369">
                  <c:v>32.491407712928236</c:v>
                </c:pt>
                <c:pt idx="370">
                  <c:v>32.183127815535272</c:v>
                </c:pt>
                <c:pt idx="371">
                  <c:v>31.876516150317098</c:v>
                </c:pt>
                <c:pt idx="372">
                  <c:v>31.571549518779165</c:v>
                </c:pt>
                <c:pt idx="373">
                  <c:v>31.268204988201685</c:v>
                </c:pt>
                <c:pt idx="374">
                  <c:v>30.966459886587216</c:v>
                </c:pt>
                <c:pt idx="375">
                  <c:v>30.666291797690697</c:v>
                </c:pt>
                <c:pt idx="376">
                  <c:v>30.367678556130031</c:v>
                </c:pt>
                <c:pt idx="377">
                  <c:v>30.070598242574814</c:v>
                </c:pt>
                <c:pt idx="378">
                  <c:v>29.775029179012073</c:v>
                </c:pt>
                <c:pt idx="379">
                  <c:v>29.480949924086236</c:v>
                </c:pt>
                <c:pt idx="380">
                  <c:v>29.188339268511982</c:v>
                </c:pt>
                <c:pt idx="381">
                  <c:v>28.897176230558166</c:v>
                </c:pt>
                <c:pt idx="382">
                  <c:v>28.607440051600573</c:v>
                </c:pt>
                <c:pt idx="383">
                  <c:v>28.319110191742414</c:v>
                </c:pt>
                <c:pt idx="384">
                  <c:v>28.032166325500036</c:v>
                </c:pt>
                <c:pt idx="385">
                  <c:v>27.746588337552996</c:v>
                </c:pt>
                <c:pt idx="386">
                  <c:v>27.462356318556274</c:v>
                </c:pt>
                <c:pt idx="387">
                  <c:v>27.179450561012914</c:v>
                </c:pt>
                <c:pt idx="388">
                  <c:v>26.897851555206167</c:v>
                </c:pt>
                <c:pt idx="389">
                  <c:v>26.617539985188799</c:v>
                </c:pt>
                <c:pt idx="390">
                  <c:v>26.338496724828481</c:v>
                </c:pt>
                <c:pt idx="391">
                  <c:v>26.060702833907577</c:v>
                </c:pt>
                <c:pt idx="392">
                  <c:v>25.784139554275889</c:v>
                </c:pt>
                <c:pt idx="393">
                  <c:v>25.508788306054832</c:v>
                </c:pt>
                <c:pt idx="394">
                  <c:v>25.234630683891741</c:v>
                </c:pt>
                <c:pt idx="395">
                  <c:v>24.961648453262651</c:v>
                </c:pt>
                <c:pt idx="396">
                  <c:v>24.689823546822556</c:v>
                </c:pt>
                <c:pt idx="397">
                  <c:v>24.419138060801018</c:v>
                </c:pt>
                <c:pt idx="398">
                  <c:v>24.149574251442907</c:v>
                </c:pt>
                <c:pt idx="399">
                  <c:v>23.881114531491832</c:v>
                </c:pt>
                <c:pt idx="400">
                  <c:v>23.61374146671546</c:v>
                </c:pt>
                <c:pt idx="401">
                  <c:v>23.347437772471601</c:v>
                </c:pt>
                <c:pt idx="402">
                  <c:v>23.082186310313368</c:v>
                </c:pt>
                <c:pt idx="403">
                  <c:v>22.817970084632343</c:v>
                </c:pt>
                <c:pt idx="404">
                  <c:v>22.554772239338693</c:v>
                </c:pt>
                <c:pt idx="405">
                  <c:v>22.292576054576312</c:v>
                </c:pt>
                <c:pt idx="406">
                  <c:v>22.031364943472994</c:v>
                </c:pt>
                <c:pt idx="407">
                  <c:v>21.771122448922959</c:v>
                </c:pt>
                <c:pt idx="408">
                  <c:v>21.511832240401834</c:v>
                </c:pt>
                <c:pt idx="409">
                  <c:v>21.253478110812022</c:v>
                </c:pt>
                <c:pt idx="410">
                  <c:v>20.996043973357732</c:v>
                </c:pt>
                <c:pt idx="411">
                  <c:v>20.739513858448529</c:v>
                </c:pt>
                <c:pt idx="412">
                  <c:v>20.483871910629787</c:v>
                </c:pt>
                <c:pt idx="413">
                  <c:v>20.229102385539651</c:v>
                </c:pt>
                <c:pt idx="414">
                  <c:v>19.975189646890783</c:v>
                </c:pt>
                <c:pt idx="415">
                  <c:v>19.722118163475798</c:v>
                </c:pt>
                <c:pt idx="416">
                  <c:v>19.469872506195809</c:v>
                </c:pt>
                <c:pt idx="417">
                  <c:v>19.218437345110189</c:v>
                </c:pt>
                <c:pt idx="418">
                  <c:v>18.967797446507181</c:v>
                </c:pt>
                <c:pt idx="419">
                  <c:v>18.717937669993848</c:v>
                </c:pt>
                <c:pt idx="420">
                  <c:v>18.468842965604154</c:v>
                </c:pt>
                <c:pt idx="421">
                  <c:v>18.220498370924577</c:v>
                </c:pt>
                <c:pt idx="422">
                  <c:v>17.972889008235633</c:v>
                </c:pt>
                <c:pt idx="423">
                  <c:v>17.726000081668644</c:v>
                </c:pt>
                <c:pt idx="424">
                  <c:v>17.479816874376418</c:v>
                </c:pt>
                <c:pt idx="425">
                  <c:v>17.234324745716609</c:v>
                </c:pt>
                <c:pt idx="426">
                  <c:v>16.989509128447359</c:v>
                </c:pt>
                <c:pt idx="427">
                  <c:v>16.745355525933217</c:v>
                </c:pt>
                <c:pt idx="428">
                  <c:v>16.501849509360881</c:v>
                </c:pt>
                <c:pt idx="429">
                  <c:v>16.258976714963499</c:v>
                </c:pt>
                <c:pt idx="430">
                  <c:v>16.01672284125241</c:v>
                </c:pt>
                <c:pt idx="431">
                  <c:v>15.775073646255269</c:v>
                </c:pt>
                <c:pt idx="432">
                  <c:v>15.53401494475929</c:v>
                </c:pt>
                <c:pt idx="433">
                  <c:v>15.293532605558806</c:v>
                </c:pt>
                <c:pt idx="434">
                  <c:v>15.0536125487059</c:v>
                </c:pt>
                <c:pt idx="435">
                  <c:v>14.814240742762742</c:v>
                </c:pt>
                <c:pt idx="436">
                  <c:v>14.575403202054922</c:v>
                </c:pt>
                <c:pt idx="437">
                  <c:v>14.337085983924384</c:v>
                </c:pt>
                <c:pt idx="438">
                  <c:v>14.09927518598076</c:v>
                </c:pt>
                <c:pt idx="439">
                  <c:v>13.861956943350364</c:v>
                </c:pt>
                <c:pt idx="440">
                  <c:v>13.625117425920958</c:v>
                </c:pt>
                <c:pt idx="441">
                  <c:v>13.388742835581875</c:v>
                </c:pt>
                <c:pt idx="442">
                  <c:v>13.152819403457844</c:v>
                </c:pt>
                <c:pt idx="443">
                  <c:v>12.917333387135253</c:v>
                </c:pt>
                <c:pt idx="444">
                  <c:v>12.682271067880214</c:v>
                </c:pt>
                <c:pt idx="445">
                  <c:v>12.447618747846294</c:v>
                </c:pt>
                <c:pt idx="446">
                  <c:v>12.213362747271468</c:v>
                </c:pt>
                <c:pt idx="447">
                  <c:v>11.979489401662624</c:v>
                </c:pt>
                <c:pt idx="448">
                  <c:v>11.745985058966264</c:v>
                </c:pt>
                <c:pt idx="449">
                  <c:v>11.512836076724394</c:v>
                </c:pt>
                <c:pt idx="450">
                  <c:v>11.28002881921393</c:v>
                </c:pt>
                <c:pt idx="451">
                  <c:v>11.047549654568577</c:v>
                </c:pt>
                <c:pt idx="452">
                  <c:v>10.815384951881532</c:v>
                </c:pt>
                <c:pt idx="453">
                  <c:v>10.583521078287632</c:v>
                </c:pt>
                <c:pt idx="454">
                  <c:v>10.351944396023821</c:v>
                </c:pt>
                <c:pt idx="455">
                  <c:v>10.120641259466083</c:v>
                </c:pt>
                <c:pt idx="456">
                  <c:v>9.8895980121414251</c:v>
                </c:pt>
                <c:pt idx="457">
                  <c:v>9.6588009837137854</c:v>
                </c:pt>
                <c:pt idx="458">
                  <c:v>9.4282364869414668</c:v>
                </c:pt>
                <c:pt idx="459">
                  <c:v>9.1978908146056106</c:v>
                </c:pt>
                <c:pt idx="460">
                  <c:v>8.96775023640709</c:v>
                </c:pt>
                <c:pt idx="461">
                  <c:v>8.7378009958306748</c:v>
                </c:pt>
                <c:pt idx="462">
                  <c:v>8.5080293069747537</c:v>
                </c:pt>
                <c:pt idx="463">
                  <c:v>8.2784213513446705</c:v>
                </c:pt>
                <c:pt idx="464">
                  <c:v>8.04896327460796</c:v>
                </c:pt>
                <c:pt idx="465">
                  <c:v>7.8196411833098898</c:v>
                </c:pt>
                <c:pt idx="466">
                  <c:v>7.5904411415468473</c:v>
                </c:pt>
                <c:pt idx="467">
                  <c:v>7.3613491675964777</c:v>
                </c:pt>
                <c:pt idx="468">
                  <c:v>7.132351230501742</c:v>
                </c:pt>
                <c:pt idx="469">
                  <c:v>6.9034332466074257</c:v>
                </c:pt>
                <c:pt idx="470">
                  <c:v>6.6745810760469464</c:v>
                </c:pt>
                <c:pt idx="471">
                  <c:v>6.4457805191769575</c:v>
                </c:pt>
                <c:pt idx="472">
                  <c:v>6.2170173129580126</c:v>
                </c:pt>
                <c:pt idx="473">
                  <c:v>5.9882771272787387</c:v>
                </c:pt>
                <c:pt idx="474">
                  <c:v>5.7595455612211657</c:v>
                </c:pt>
                <c:pt idx="475">
                  <c:v>5.5308081392651598</c:v>
                </c:pt>
                <c:pt idx="476">
                  <c:v>5.3020503074287797</c:v>
                </c:pt>
                <c:pt idx="477">
                  <c:v>5.0732574293429513</c:v>
                </c:pt>
                <c:pt idx="478">
                  <c:v>4.8444147822570338</c:v>
                </c:pt>
                <c:pt idx="479">
                  <c:v>4.6155075529728533</c:v>
                </c:pt>
                <c:pt idx="480">
                  <c:v>4.3865208337046084</c:v>
                </c:pt>
                <c:pt idx="481">
                  <c:v>4.1574396178614696</c:v>
                </c:pt>
                <c:pt idx="482">
                  <c:v>3.928248795750072</c:v>
                </c:pt>
                <c:pt idx="483">
                  <c:v>3.6989331501937603</c:v>
                </c:pt>
                <c:pt idx="484">
                  <c:v>3.4694773520653772</c:v>
                </c:pt>
                <c:pt idx="485">
                  <c:v>3.2398659557305414</c:v>
                </c:pt>
                <c:pt idx="486">
                  <c:v>3.010083394397761</c:v>
                </c:pt>
                <c:pt idx="487">
                  <c:v>2.7801139753719797</c:v>
                </c:pt>
                <c:pt idx="488">
                  <c:v>2.5499418752081451</c:v>
                </c:pt>
                <c:pt idx="489">
                  <c:v>2.3195511347605891</c:v>
                </c:pt>
                <c:pt idx="490">
                  <c:v>2.0889256541250165</c:v>
                </c:pt>
                <c:pt idx="491">
                  <c:v>1.8580491874684701</c:v>
                </c:pt>
                <c:pt idx="492">
                  <c:v>1.6269053377433684</c:v>
                </c:pt>
                <c:pt idx="493">
                  <c:v>1.3954775512817159</c:v>
                </c:pt>
                <c:pt idx="494">
                  <c:v>1.1637491122641865</c:v>
                </c:pt>
                <c:pt idx="495">
                  <c:v>0.93170313706042096</c:v>
                </c:pt>
                <c:pt idx="496">
                  <c:v>0.69932256843513196</c:v>
                </c:pt>
                <c:pt idx="497">
                  <c:v>0.46659016961519484</c:v>
                </c:pt>
                <c:pt idx="498">
                  <c:v>0.23348851821299055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8D-4C8D-879B-FBCFE2CB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sin(a)</a:t>
            </a:r>
            <a:r>
              <a:rPr lang="ja-JP" altLang="en-US" sz="2000"/>
              <a:t>と距離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Main!$C$12:$C$511</c:f>
              <c:numCache>
                <c:formatCode>General</c:formatCode>
                <c:ptCount val="500"/>
                <c:pt idx="0">
                  <c:v>0.46947156278589081</c:v>
                </c:pt>
                <c:pt idx="1">
                  <c:v>0.46860662918221885</c:v>
                </c:pt>
                <c:pt idx="2">
                  <c:v>0.4677412461319464</c:v>
                </c:pt>
                <c:pt idx="3">
                  <c:v>0.46687541446507325</c:v>
                </c:pt>
                <c:pt idx="4">
                  <c:v>0.46600913501202967</c:v>
                </c:pt>
                <c:pt idx="5">
                  <c:v>0.46514240860367523</c:v>
                </c:pt>
                <c:pt idx="6">
                  <c:v>0.46427523607129828</c:v>
                </c:pt>
                <c:pt idx="7">
                  <c:v>0.46340761824661525</c:v>
                </c:pt>
                <c:pt idx="8">
                  <c:v>0.46253955596176932</c:v>
                </c:pt>
                <c:pt idx="9">
                  <c:v>0.46167105004933018</c:v>
                </c:pt>
                <c:pt idx="10">
                  <c:v>0.46080210134229299</c:v>
                </c:pt>
                <c:pt idx="11">
                  <c:v>0.45993271067407732</c:v>
                </c:pt>
                <c:pt idx="12">
                  <c:v>0.45906287887852715</c:v>
                </c:pt>
                <c:pt idx="13">
                  <c:v>0.45819260678990903</c:v>
                </c:pt>
                <c:pt idx="14">
                  <c:v>0.45732189524291217</c:v>
                </c:pt>
                <c:pt idx="15">
                  <c:v>0.4564507450726471</c:v>
                </c:pt>
                <c:pt idx="16">
                  <c:v>0.45557915711464497</c:v>
                </c:pt>
                <c:pt idx="17">
                  <c:v>0.45470713220485709</c:v>
                </c:pt>
                <c:pt idx="18">
                  <c:v>0.45383467117965354</c:v>
                </c:pt>
                <c:pt idx="19">
                  <c:v>0.4529617748758229</c:v>
                </c:pt>
                <c:pt idx="20">
                  <c:v>0.45208844413057114</c:v>
                </c:pt>
                <c:pt idx="21">
                  <c:v>0.45121467978152091</c:v>
                </c:pt>
                <c:pt idx="22">
                  <c:v>0.45034048266671084</c:v>
                </c:pt>
                <c:pt idx="23">
                  <c:v>0.44946585362459446</c:v>
                </c:pt>
                <c:pt idx="24">
                  <c:v>0.44859079349403963</c:v>
                </c:pt>
                <c:pt idx="25">
                  <c:v>0.44771530311432772</c:v>
                </c:pt>
                <c:pt idx="26">
                  <c:v>0.44683938332515277</c:v>
                </c:pt>
                <c:pt idx="27">
                  <c:v>0.4459630349666206</c:v>
                </c:pt>
                <c:pt idx="28">
                  <c:v>0.44508625887924813</c:v>
                </c:pt>
                <c:pt idx="29">
                  <c:v>0.44420905590396242</c:v>
                </c:pt>
                <c:pt idx="30">
                  <c:v>0.44333142688210014</c:v>
                </c:pt>
                <c:pt idx="31">
                  <c:v>0.44245337265540641</c:v>
                </c:pt>
                <c:pt idx="32">
                  <c:v>0.44157489406603434</c:v>
                </c:pt>
                <c:pt idx="33">
                  <c:v>0.44069599195654391</c:v>
                </c:pt>
                <c:pt idx="34">
                  <c:v>0.43981666716990131</c:v>
                </c:pt>
                <c:pt idx="35">
                  <c:v>0.43893692054947825</c:v>
                </c:pt>
                <c:pt idx="36">
                  <c:v>0.43805675293905089</c:v>
                </c:pt>
                <c:pt idx="37">
                  <c:v>0.43717616518279934</c:v>
                </c:pt>
                <c:pt idx="38">
                  <c:v>0.43629515812530634</c:v>
                </c:pt>
                <c:pt idx="39">
                  <c:v>0.43541373261155708</c:v>
                </c:pt>
                <c:pt idx="40">
                  <c:v>0.43453188948693822</c:v>
                </c:pt>
                <c:pt idx="41">
                  <c:v>0.43364962959723652</c:v>
                </c:pt>
                <c:pt idx="42">
                  <c:v>0.43276695378863878</c:v>
                </c:pt>
                <c:pt idx="43">
                  <c:v>0.43188386290773073</c:v>
                </c:pt>
                <c:pt idx="44">
                  <c:v>0.43100035780149593</c:v>
                </c:pt>
                <c:pt idx="45">
                  <c:v>0.43011643931731558</c:v>
                </c:pt>
                <c:pt idx="46">
                  <c:v>0.42923210830296704</c:v>
                </c:pt>
                <c:pt idx="47">
                  <c:v>0.42834736560662356</c:v>
                </c:pt>
                <c:pt idx="48">
                  <c:v>0.4274622120768532</c:v>
                </c:pt>
                <c:pt idx="49">
                  <c:v>0.42657664856261784</c:v>
                </c:pt>
                <c:pt idx="50">
                  <c:v>0.42569067591327298</c:v>
                </c:pt>
                <c:pt idx="51">
                  <c:v>0.42480429497856609</c:v>
                </c:pt>
                <c:pt idx="52">
                  <c:v>0.42391750660863659</c:v>
                </c:pt>
                <c:pt idx="53">
                  <c:v>0.42303031165401439</c:v>
                </c:pt>
                <c:pt idx="54">
                  <c:v>0.42214271096561967</c:v>
                </c:pt>
                <c:pt idx="55">
                  <c:v>0.4212547053947614</c:v>
                </c:pt>
                <c:pt idx="56">
                  <c:v>0.42036629579313722</c:v>
                </c:pt>
                <c:pt idx="57">
                  <c:v>0.41947748301283205</c:v>
                </c:pt>
                <c:pt idx="58">
                  <c:v>0.41858826790631753</c:v>
                </c:pt>
                <c:pt idx="59">
                  <c:v>0.41769865132645123</c:v>
                </c:pt>
                <c:pt idx="60">
                  <c:v>0.4168086341264759</c:v>
                </c:pt>
                <c:pt idx="61">
                  <c:v>0.41591821716001826</c:v>
                </c:pt>
                <c:pt idx="62">
                  <c:v>0.41502740128108856</c:v>
                </c:pt>
                <c:pt idx="63">
                  <c:v>0.41413618734407986</c:v>
                </c:pt>
                <c:pt idx="64">
                  <c:v>0.41324457620376664</c:v>
                </c:pt>
                <c:pt idx="65">
                  <c:v>0.41235256871530468</c:v>
                </c:pt>
                <c:pt idx="66">
                  <c:v>0.41146016573422967</c:v>
                </c:pt>
                <c:pt idx="67">
                  <c:v>0.41056736811645661</c:v>
                </c:pt>
                <c:pt idx="68">
                  <c:v>0.40967417671827927</c:v>
                </c:pt>
                <c:pt idx="69">
                  <c:v>0.40878059239636888</c:v>
                </c:pt>
                <c:pt idx="70">
                  <c:v>0.40788661600777348</c:v>
                </c:pt>
                <c:pt idx="71">
                  <c:v>0.40699224840991738</c:v>
                </c:pt>
                <c:pt idx="72">
                  <c:v>0.40609749046059973</c:v>
                </c:pt>
                <c:pt idx="73">
                  <c:v>0.40520234301799457</c:v>
                </c:pt>
                <c:pt idx="74">
                  <c:v>0.40430680694064908</c:v>
                </c:pt>
                <c:pt idx="75">
                  <c:v>0.40341088308748335</c:v>
                </c:pt>
                <c:pt idx="76">
                  <c:v>0.40251457231778948</c:v>
                </c:pt>
                <c:pt idx="77">
                  <c:v>0.40161787549123046</c:v>
                </c:pt>
                <c:pt idx="78">
                  <c:v>0.40072079346783973</c:v>
                </c:pt>
                <c:pt idx="79">
                  <c:v>0.3998233271080201</c:v>
                </c:pt>
                <c:pt idx="80">
                  <c:v>0.39892547727254302</c:v>
                </c:pt>
                <c:pt idx="81">
                  <c:v>0.3980272448225477</c:v>
                </c:pt>
                <c:pt idx="82">
                  <c:v>0.3971286306195404</c:v>
                </c:pt>
                <c:pt idx="83">
                  <c:v>0.39622963552539342</c:v>
                </c:pt>
                <c:pt idx="84">
                  <c:v>0.39533026040234448</c:v>
                </c:pt>
                <c:pt idx="85">
                  <c:v>0.39443050611299568</c:v>
                </c:pt>
                <c:pt idx="86">
                  <c:v>0.39353037352031289</c:v>
                </c:pt>
                <c:pt idx="87">
                  <c:v>0.3926298634876248</c:v>
                </c:pt>
                <c:pt idx="88">
                  <c:v>0.39172897687862201</c:v>
                </c:pt>
                <c:pt idx="89">
                  <c:v>0.39082771455735649</c:v>
                </c:pt>
                <c:pt idx="90">
                  <c:v>0.3899260773882402</c:v>
                </c:pt>
                <c:pt idx="91">
                  <c:v>0.38902406623604507</c:v>
                </c:pt>
                <c:pt idx="92">
                  <c:v>0.38812168196590152</c:v>
                </c:pt>
                <c:pt idx="93">
                  <c:v>0.38721892544329772</c:v>
                </c:pt>
                <c:pt idx="94">
                  <c:v>0.38631579753407908</c:v>
                </c:pt>
                <c:pt idx="95">
                  <c:v>0.38541229910444691</c:v>
                </c:pt>
                <c:pt idx="96">
                  <c:v>0.38450843102095833</c:v>
                </c:pt>
                <c:pt idx="97">
                  <c:v>0.3836041941505246</c:v>
                </c:pt>
                <c:pt idx="98">
                  <c:v>0.38269958936041087</c:v>
                </c:pt>
                <c:pt idx="99">
                  <c:v>0.38179461751823524</c:v>
                </c:pt>
                <c:pt idx="100">
                  <c:v>0.38088927949196755</c:v>
                </c:pt>
                <c:pt idx="101">
                  <c:v>0.37998357614992928</c:v>
                </c:pt>
                <c:pt idx="102">
                  <c:v>0.37907750836079201</c:v>
                </c:pt>
                <c:pt idx="103">
                  <c:v>0.37817107699357688</c:v>
                </c:pt>
                <c:pt idx="104">
                  <c:v>0.37726428291765374</c:v>
                </c:pt>
                <c:pt idx="105">
                  <c:v>0.37635712700274054</c:v>
                </c:pt>
                <c:pt idx="106">
                  <c:v>0.37544961011890199</c:v>
                </c:pt>
                <c:pt idx="107">
                  <c:v>0.37454173313654904</c:v>
                </c:pt>
                <c:pt idx="108">
                  <c:v>0.37363349692643816</c:v>
                </c:pt>
                <c:pt idx="109">
                  <c:v>0.37272490235967032</c:v>
                </c:pt>
                <c:pt idx="110">
                  <c:v>0.37181595030769016</c:v>
                </c:pt>
                <c:pt idx="111">
                  <c:v>0.37090664164228521</c:v>
                </c:pt>
                <c:pt idx="112">
                  <c:v>0.369996977235585</c:v>
                </c:pt>
                <c:pt idx="113">
                  <c:v>0.3690869579600603</c:v>
                </c:pt>
                <c:pt idx="114">
                  <c:v>0.3681765846885221</c:v>
                </c:pt>
                <c:pt idx="115">
                  <c:v>0.36726585829412123</c:v>
                </c:pt>
                <c:pt idx="116">
                  <c:v>0.3663547796503468</c:v>
                </c:pt>
                <c:pt idx="117">
                  <c:v>0.36544334963102615</c:v>
                </c:pt>
                <c:pt idx="118">
                  <c:v>0.36453156911032325</c:v>
                </c:pt>
                <c:pt idx="119">
                  <c:v>0.36361943896273863</c:v>
                </c:pt>
                <c:pt idx="120">
                  <c:v>0.36270696006310787</c:v>
                </c:pt>
                <c:pt idx="121">
                  <c:v>0.36179413328660109</c:v>
                </c:pt>
                <c:pt idx="122">
                  <c:v>0.36088095950872223</c:v>
                </c:pt>
                <c:pt idx="123">
                  <c:v>0.35996743960530775</c:v>
                </c:pt>
                <c:pt idx="124">
                  <c:v>0.35905357445252634</c:v>
                </c:pt>
                <c:pt idx="125">
                  <c:v>0.35813936492687787</c:v>
                </c:pt>
                <c:pt idx="126">
                  <c:v>0.35722481190519212</c:v>
                </c:pt>
                <c:pt idx="127">
                  <c:v>0.35630991626462871</c:v>
                </c:pt>
                <c:pt idx="128">
                  <c:v>0.35539467888267567</c:v>
                </c:pt>
                <c:pt idx="129">
                  <c:v>0.35447910063714899</c:v>
                </c:pt>
                <c:pt idx="130">
                  <c:v>0.35356318240619128</c:v>
                </c:pt>
                <c:pt idx="131">
                  <c:v>0.3526469250682715</c:v>
                </c:pt>
                <c:pt idx="132">
                  <c:v>0.35173032950218375</c:v>
                </c:pt>
                <c:pt idx="133">
                  <c:v>0.35081339658704647</c:v>
                </c:pt>
                <c:pt idx="134">
                  <c:v>0.34989612720230184</c:v>
                </c:pt>
                <c:pt idx="135">
                  <c:v>0.34897852222771464</c:v>
                </c:pt>
                <c:pt idx="136">
                  <c:v>0.34806058254337136</c:v>
                </c:pt>
                <c:pt idx="137">
                  <c:v>0.3471423090296798</c:v>
                </c:pt>
                <c:pt idx="138">
                  <c:v>0.34622370256736784</c:v>
                </c:pt>
                <c:pt idx="139">
                  <c:v>0.34530476403748256</c:v>
                </c:pt>
                <c:pt idx="140">
                  <c:v>0.34438549432138971</c:v>
                </c:pt>
                <c:pt idx="141">
                  <c:v>0.34346589430077257</c:v>
                </c:pt>
                <c:pt idx="142">
                  <c:v>0.34254596485763128</c:v>
                </c:pt>
                <c:pt idx="143">
                  <c:v>0.3416257068742819</c:v>
                </c:pt>
                <c:pt idx="144">
                  <c:v>0.34070512123335561</c:v>
                </c:pt>
                <c:pt idx="145">
                  <c:v>0.33978420881779792</c:v>
                </c:pt>
                <c:pt idx="146">
                  <c:v>0.33886297051086756</c:v>
                </c:pt>
                <c:pt idx="147">
                  <c:v>0.33794140719613597</c:v>
                </c:pt>
                <c:pt idx="148">
                  <c:v>0.33701951975748645</c:v>
                </c:pt>
                <c:pt idx="149">
                  <c:v>0.33609730907911284</c:v>
                </c:pt>
                <c:pt idx="150">
                  <c:v>0.33517477604551921</c:v>
                </c:pt>
                <c:pt idx="151">
                  <c:v>0.33425192154151884</c:v>
                </c:pt>
                <c:pt idx="152">
                  <c:v>0.33332874645223326</c:v>
                </c:pt>
                <c:pt idx="153">
                  <c:v>0.33240525166309137</c:v>
                </c:pt>
                <c:pt idx="154">
                  <c:v>0.33148143805982888</c:v>
                </c:pt>
                <c:pt idx="155">
                  <c:v>0.3305573065284873</c:v>
                </c:pt>
                <c:pt idx="156">
                  <c:v>0.32963285795541281</c:v>
                </c:pt>
                <c:pt idx="157">
                  <c:v>0.32870809322725592</c:v>
                </c:pt>
                <c:pt idx="158">
                  <c:v>0.32778301323097037</c:v>
                </c:pt>
                <c:pt idx="159">
                  <c:v>0.32685761885381209</c:v>
                </c:pt>
                <c:pt idx="160">
                  <c:v>0.32593191098333857</c:v>
                </c:pt>
                <c:pt idx="161">
                  <c:v>0.3250058905074083</c:v>
                </c:pt>
                <c:pt idx="162">
                  <c:v>0.32407955831417917</c:v>
                </c:pt>
                <c:pt idx="163">
                  <c:v>0.3231529152921081</c:v>
                </c:pt>
                <c:pt idx="164">
                  <c:v>0.32222596232995049</c:v>
                </c:pt>
                <c:pt idx="165">
                  <c:v>0.32129870031675867</c:v>
                </c:pt>
                <c:pt idx="166">
                  <c:v>0.32037113014188134</c:v>
                </c:pt>
                <c:pt idx="167">
                  <c:v>0.31944325269496304</c:v>
                </c:pt>
                <c:pt idx="168">
                  <c:v>0.31851506886594289</c:v>
                </c:pt>
                <c:pt idx="169">
                  <c:v>0.3175865795450537</c:v>
                </c:pt>
                <c:pt idx="170">
                  <c:v>0.31665778562282154</c:v>
                </c:pt>
                <c:pt idx="171">
                  <c:v>0.31572868799006459</c:v>
                </c:pt>
                <c:pt idx="172">
                  <c:v>0.31479928753789216</c:v>
                </c:pt>
                <c:pt idx="173">
                  <c:v>0.31386958515770408</c:v>
                </c:pt>
                <c:pt idx="174">
                  <c:v>0.3129395817411898</c:v>
                </c:pt>
                <c:pt idx="175">
                  <c:v>0.31200927818032748</c:v>
                </c:pt>
                <c:pt idx="176">
                  <c:v>0.31107867536738304</c:v>
                </c:pt>
                <c:pt idx="177">
                  <c:v>0.31014777419490969</c:v>
                </c:pt>
                <c:pt idx="178">
                  <c:v>0.30921657555574655</c:v>
                </c:pt>
                <c:pt idx="179">
                  <c:v>0.30828508034301799</c:v>
                </c:pt>
                <c:pt idx="180">
                  <c:v>0.30735328945013318</c:v>
                </c:pt>
                <c:pt idx="181">
                  <c:v>0.30642120377078458</c:v>
                </c:pt>
                <c:pt idx="182">
                  <c:v>0.30548882419894741</c:v>
                </c:pt>
                <c:pt idx="183">
                  <c:v>0.30455615162887889</c:v>
                </c:pt>
                <c:pt idx="184">
                  <c:v>0.30362318695511714</c:v>
                </c:pt>
                <c:pt idx="185">
                  <c:v>0.30268993107248054</c:v>
                </c:pt>
                <c:pt idx="186">
                  <c:v>0.3017563848760666</c:v>
                </c:pt>
                <c:pt idx="187">
                  <c:v>0.30082254926125163</c:v>
                </c:pt>
                <c:pt idx="188">
                  <c:v>0.29988842512368907</c:v>
                </c:pt>
                <c:pt idx="189">
                  <c:v>0.29895401335930938</c:v>
                </c:pt>
                <c:pt idx="190">
                  <c:v>0.29801931486431882</c:v>
                </c:pt>
                <c:pt idx="191">
                  <c:v>0.29708433053519867</c:v>
                </c:pt>
                <c:pt idx="192">
                  <c:v>0.29614906126870427</c:v>
                </c:pt>
                <c:pt idx="193">
                  <c:v>0.29521350796186435</c:v>
                </c:pt>
                <c:pt idx="194">
                  <c:v>0.29427767151198009</c:v>
                </c:pt>
                <c:pt idx="195">
                  <c:v>0.29334155281662411</c:v>
                </c:pt>
                <c:pt idx="196">
                  <c:v>0.29240515277363976</c:v>
                </c:pt>
                <c:pt idx="197">
                  <c:v>0.29146847228114042</c:v>
                </c:pt>
                <c:pt idx="198">
                  <c:v>0.29053151223750817</c:v>
                </c:pt>
                <c:pt idx="199">
                  <c:v>0.28959427354139339</c:v>
                </c:pt>
                <c:pt idx="200">
                  <c:v>0.28865675709171373</c:v>
                </c:pt>
                <c:pt idx="201">
                  <c:v>0.28771896378765316</c:v>
                </c:pt>
                <c:pt idx="202">
                  <c:v>0.28678089452866118</c:v>
                </c:pt>
                <c:pt idx="203">
                  <c:v>0.28584255021445193</c:v>
                </c:pt>
                <c:pt idx="204">
                  <c:v>0.28490393174500356</c:v>
                </c:pt>
                <c:pt idx="205">
                  <c:v>0.28396504002055695</c:v>
                </c:pt>
                <c:pt idx="206">
                  <c:v>0.28302587594161516</c:v>
                </c:pt>
                <c:pt idx="207">
                  <c:v>0.28208644040894243</c:v>
                </c:pt>
                <c:pt idx="208">
                  <c:v>0.28114673432356341</c:v>
                </c:pt>
                <c:pt idx="209">
                  <c:v>0.28020675858676219</c:v>
                </c:pt>
                <c:pt idx="210">
                  <c:v>0.27926651410008152</c:v>
                </c:pt>
                <c:pt idx="211">
                  <c:v>0.27832600176532185</c:v>
                </c:pt>
                <c:pt idx="212">
                  <c:v>0.27738522248454045</c:v>
                </c:pt>
                <c:pt idx="213">
                  <c:v>0.27644417716005099</c:v>
                </c:pt>
                <c:pt idx="214">
                  <c:v>0.27550286669442187</c:v>
                </c:pt>
                <c:pt idx="215">
                  <c:v>0.27456129199047613</c:v>
                </c:pt>
                <c:pt idx="216">
                  <c:v>0.27361945395128995</c:v>
                </c:pt>
                <c:pt idx="217">
                  <c:v>0.27267735348019223</c:v>
                </c:pt>
                <c:pt idx="218">
                  <c:v>0.27173499148076358</c:v>
                </c:pt>
                <c:pt idx="219">
                  <c:v>0.2707923688568355</c:v>
                </c:pt>
                <c:pt idx="220">
                  <c:v>0.2698494865124893</c:v>
                </c:pt>
                <c:pt idx="221">
                  <c:v>0.26890634535205549</c:v>
                </c:pt>
                <c:pt idx="222">
                  <c:v>0.2679629462801128</c:v>
                </c:pt>
                <c:pt idx="223">
                  <c:v>0.26701929020148729</c:v>
                </c:pt>
                <c:pt idx="224">
                  <c:v>0.26607537802125164</c:v>
                </c:pt>
                <c:pt idx="225">
                  <c:v>0.265131210644724</c:v>
                </c:pt>
                <c:pt idx="226">
                  <c:v>0.26418678897746739</c:v>
                </c:pt>
                <c:pt idx="227">
                  <c:v>0.26324211392528868</c:v>
                </c:pt>
                <c:pt idx="228">
                  <c:v>0.26229718639423771</c:v>
                </c:pt>
                <c:pt idx="229">
                  <c:v>0.26135200729060665</c:v>
                </c:pt>
                <c:pt idx="230">
                  <c:v>0.26040657752092883</c:v>
                </c:pt>
                <c:pt idx="231">
                  <c:v>0.25946089799197786</c:v>
                </c:pt>
                <c:pt idx="232">
                  <c:v>0.25851496961076725</c:v>
                </c:pt>
                <c:pt idx="233">
                  <c:v>0.25756879328454885</c:v>
                </c:pt>
                <c:pt idx="234">
                  <c:v>0.2566223699208125</c:v>
                </c:pt>
                <c:pt idx="235">
                  <c:v>0.25567570042728499</c:v>
                </c:pt>
                <c:pt idx="236">
                  <c:v>0.25472878571192903</c:v>
                </c:pt>
                <c:pt idx="237">
                  <c:v>0.25378162668294268</c:v>
                </c:pt>
                <c:pt idx="238">
                  <c:v>0.25283422424875818</c:v>
                </c:pt>
                <c:pt idx="239">
                  <c:v>0.25188657931804131</c:v>
                </c:pt>
                <c:pt idx="240">
                  <c:v>0.2509386927996905</c:v>
                </c:pt>
                <c:pt idx="241">
                  <c:v>0.24999056560283572</c:v>
                </c:pt>
                <c:pt idx="242">
                  <c:v>0.24904219863683794</c:v>
                </c:pt>
                <c:pt idx="243">
                  <c:v>0.24809359281128804</c:v>
                </c:pt>
                <c:pt idx="244">
                  <c:v>0.24714474903600589</c:v>
                </c:pt>
                <c:pt idx="245">
                  <c:v>0.24619566822103972</c:v>
                </c:pt>
                <c:pt idx="246">
                  <c:v>0.24524635127666503</c:v>
                </c:pt>
                <c:pt idx="247">
                  <c:v>0.24429679911338387</c:v>
                </c:pt>
                <c:pt idx="248">
                  <c:v>0.24334701264192379</c:v>
                </c:pt>
                <c:pt idx="249">
                  <c:v>0.24239699277323717</c:v>
                </c:pt>
                <c:pt idx="250">
                  <c:v>0.24144674041850012</c:v>
                </c:pt>
                <c:pt idx="251">
                  <c:v>0.24049625648911191</c:v>
                </c:pt>
                <c:pt idx="252">
                  <c:v>0.23954554189669375</c:v>
                </c:pt>
                <c:pt idx="253">
                  <c:v>0.23859459755308809</c:v>
                </c:pt>
                <c:pt idx="254">
                  <c:v>0.23764342437035788</c:v>
                </c:pt>
                <c:pt idx="255">
                  <c:v>0.23669202326078542</c:v>
                </c:pt>
                <c:pt idx="256">
                  <c:v>0.2357403951368717</c:v>
                </c:pt>
                <c:pt idx="257">
                  <c:v>0.23478854091133539</c:v>
                </c:pt>
                <c:pt idx="258">
                  <c:v>0.23383646149711196</c:v>
                </c:pt>
                <c:pt idx="259">
                  <c:v>0.232884157807353</c:v>
                </c:pt>
                <c:pt idx="260">
                  <c:v>0.23193163075542511</c:v>
                </c:pt>
                <c:pt idx="261">
                  <c:v>0.2309788812549092</c:v>
                </c:pt>
                <c:pt idx="262">
                  <c:v>0.23002591021959939</c:v>
                </c:pt>
                <c:pt idx="263">
                  <c:v>0.22907271856350245</c:v>
                </c:pt>
                <c:pt idx="264">
                  <c:v>0.22811930720083662</c:v>
                </c:pt>
                <c:pt idx="265">
                  <c:v>0.22716567704603091</c:v>
                </c:pt>
                <c:pt idx="266">
                  <c:v>0.22621182901372419</c:v>
                </c:pt>
                <c:pt idx="267">
                  <c:v>0.22525776401876427</c:v>
                </c:pt>
                <c:pt idx="268">
                  <c:v>0.22430348297620709</c:v>
                </c:pt>
                <c:pt idx="269">
                  <c:v>0.22334898680131576</c:v>
                </c:pt>
                <c:pt idx="270">
                  <c:v>0.22239427640955978</c:v>
                </c:pt>
                <c:pt idx="271">
                  <c:v>0.22143935271661405</c:v>
                </c:pt>
                <c:pt idx="272">
                  <c:v>0.22048421663835802</c:v>
                </c:pt>
                <c:pt idx="273">
                  <c:v>0.21952886909087502</c:v>
                </c:pt>
                <c:pt idx="274">
                  <c:v>0.21857331099045096</c:v>
                </c:pt>
                <c:pt idx="275">
                  <c:v>0.21761754325357391</c:v>
                </c:pt>
                <c:pt idx="276">
                  <c:v>0.21666156679693285</c:v>
                </c:pt>
                <c:pt idx="277">
                  <c:v>0.215705382537417</c:v>
                </c:pt>
                <c:pt idx="278">
                  <c:v>0.21474899139211495</c:v>
                </c:pt>
                <c:pt idx="279">
                  <c:v>0.21379239427831356</c:v>
                </c:pt>
                <c:pt idx="280">
                  <c:v>0.21283559211349745</c:v>
                </c:pt>
                <c:pt idx="281">
                  <c:v>0.21187858581534769</c:v>
                </c:pt>
                <c:pt idx="282">
                  <c:v>0.21092137630174129</c:v>
                </c:pt>
                <c:pt idx="283">
                  <c:v>0.20996396449075011</c:v>
                </c:pt>
                <c:pt idx="284">
                  <c:v>0.20900635130064005</c:v>
                </c:pt>
                <c:pt idx="285">
                  <c:v>0.20804853764987014</c:v>
                </c:pt>
                <c:pt idx="286">
                  <c:v>0.20709052445709164</c:v>
                </c:pt>
                <c:pt idx="287">
                  <c:v>0.20613231264114726</c:v>
                </c:pt>
                <c:pt idx="288">
                  <c:v>0.2051739031210702</c:v>
                </c:pt>
                <c:pt idx="289">
                  <c:v>0.2042152968160833</c:v>
                </c:pt>
                <c:pt idx="290">
                  <c:v>0.203256494645598</c:v>
                </c:pt>
                <c:pt idx="291">
                  <c:v>0.20229749752921386</c:v>
                </c:pt>
                <c:pt idx="292">
                  <c:v>0.2013383063867171</c:v>
                </c:pt>
                <c:pt idx="293">
                  <c:v>0.20037892213808023</c:v>
                </c:pt>
                <c:pt idx="294">
                  <c:v>0.19941934570346104</c:v>
                </c:pt>
                <c:pt idx="295">
                  <c:v>0.19845957800320138</c:v>
                </c:pt>
                <c:pt idx="296">
                  <c:v>0.19749961995782686</c:v>
                </c:pt>
                <c:pt idx="297">
                  <c:v>0.19653947248804532</c:v>
                </c:pt>
                <c:pt idx="298">
                  <c:v>0.19557913651474659</c:v>
                </c:pt>
                <c:pt idx="299">
                  <c:v>0.19461861295900121</c:v>
                </c:pt>
                <c:pt idx="300">
                  <c:v>0.19365790274205938</c:v>
                </c:pt>
                <c:pt idx="301">
                  <c:v>0.19269700678535073</c:v>
                </c:pt>
                <c:pt idx="302">
                  <c:v>0.19173592601048273</c:v>
                </c:pt>
                <c:pt idx="303">
                  <c:v>0.19077466133924023</c:v>
                </c:pt>
                <c:pt idx="304">
                  <c:v>0.18981321369358453</c:v>
                </c:pt>
                <c:pt idx="305">
                  <c:v>0.18885158399565224</c:v>
                </c:pt>
                <c:pt idx="306">
                  <c:v>0.18788977316775482</c:v>
                </c:pt>
                <c:pt idx="307">
                  <c:v>0.1869277821323771</c:v>
                </c:pt>
                <c:pt idx="308">
                  <c:v>0.18596561181217711</c:v>
                </c:pt>
                <c:pt idx="309">
                  <c:v>0.18500326312998472</c:v>
                </c:pt>
                <c:pt idx="310">
                  <c:v>0.18404073700880072</c:v>
                </c:pt>
                <c:pt idx="311">
                  <c:v>0.18307803437179623</c:v>
                </c:pt>
                <c:pt idx="312">
                  <c:v>0.18211515614231177</c:v>
                </c:pt>
                <c:pt idx="313">
                  <c:v>0.18115210324385597</c:v>
                </c:pt>
                <c:pt idx="314">
                  <c:v>0.18018887660010527</c:v>
                </c:pt>
                <c:pt idx="315">
                  <c:v>0.17922547713490258</c:v>
                </c:pt>
                <c:pt idx="316">
                  <c:v>0.17826190577225662</c:v>
                </c:pt>
                <c:pt idx="317">
                  <c:v>0.17729816343634108</c:v>
                </c:pt>
                <c:pt idx="318">
                  <c:v>0.17633425105149342</c:v>
                </c:pt>
                <c:pt idx="319">
                  <c:v>0.17537016954221443</c:v>
                </c:pt>
                <c:pt idx="320">
                  <c:v>0.17440591983316686</c:v>
                </c:pt>
                <c:pt idx="321">
                  <c:v>0.17344150284917498</c:v>
                </c:pt>
                <c:pt idx="322">
                  <c:v>0.17247691951522354</c:v>
                </c:pt>
                <c:pt idx="323">
                  <c:v>0.17151217075645653</c:v>
                </c:pt>
                <c:pt idx="324">
                  <c:v>0.17054725749817695</c:v>
                </c:pt>
                <c:pt idx="325">
                  <c:v>0.16958218066584535</c:v>
                </c:pt>
                <c:pt idx="326">
                  <c:v>0.16861694118507925</c:v>
                </c:pt>
                <c:pt idx="327">
                  <c:v>0.16765153998165225</c:v>
                </c:pt>
                <c:pt idx="328">
                  <c:v>0.16668597798149282</c:v>
                </c:pt>
                <c:pt idx="329">
                  <c:v>0.16572025611068394</c:v>
                </c:pt>
                <c:pt idx="330">
                  <c:v>0.16475437529546164</c:v>
                </c:pt>
                <c:pt idx="331">
                  <c:v>0.16378833646221466</c:v>
                </c:pt>
                <c:pt idx="332">
                  <c:v>0.16282214053748317</c:v>
                </c:pt>
                <c:pt idx="333">
                  <c:v>0.16185578844795792</c:v>
                </c:pt>
                <c:pt idx="334">
                  <c:v>0.16088928112047962</c:v>
                </c:pt>
                <c:pt idx="335">
                  <c:v>0.15992261948203784</c:v>
                </c:pt>
                <c:pt idx="336">
                  <c:v>0.15895580445976998</c:v>
                </c:pt>
                <c:pt idx="337">
                  <c:v>0.15798883698096072</c:v>
                </c:pt>
                <c:pt idx="338">
                  <c:v>0.1570217179730409</c:v>
                </c:pt>
                <c:pt idx="339">
                  <c:v>0.1560544483635867</c:v>
                </c:pt>
                <c:pt idx="340">
                  <c:v>0.15508702908031885</c:v>
                </c:pt>
                <c:pt idx="341">
                  <c:v>0.15411946105110141</c:v>
                </c:pt>
                <c:pt idx="342">
                  <c:v>0.15315174520394129</c:v>
                </c:pt>
                <c:pt idx="343">
                  <c:v>0.15218388246698708</c:v>
                </c:pt>
                <c:pt idx="344">
                  <c:v>0.1512158737685283</c:v>
                </c:pt>
                <c:pt idx="345">
                  <c:v>0.15024772003699449</c:v>
                </c:pt>
                <c:pt idx="346">
                  <c:v>0.14927942220095419</c:v>
                </c:pt>
                <c:pt idx="347">
                  <c:v>0.14831098118911432</c:v>
                </c:pt>
                <c:pt idx="348">
                  <c:v>0.14734239793031886</c:v>
                </c:pt>
                <c:pt idx="349">
                  <c:v>0.14637367335354848</c:v>
                </c:pt>
                <c:pt idx="350">
                  <c:v>0.14540480838791933</c:v>
                </c:pt>
                <c:pt idx="351">
                  <c:v>0.14443580396268205</c:v>
                </c:pt>
                <c:pt idx="352">
                  <c:v>0.1434666610072213</c:v>
                </c:pt>
                <c:pt idx="353">
                  <c:v>0.14249738045105428</c:v>
                </c:pt>
                <c:pt idx="354">
                  <c:v>0.14152796322383049</c:v>
                </c:pt>
                <c:pt idx="355">
                  <c:v>0.14055841025533039</c:v>
                </c:pt>
                <c:pt idx="356">
                  <c:v>0.13958872247546444</c:v>
                </c:pt>
                <c:pt idx="357">
                  <c:v>0.13861890081427272</c:v>
                </c:pt>
                <c:pt idx="358">
                  <c:v>0.13764894620192353</c:v>
                </c:pt>
                <c:pt idx="359">
                  <c:v>0.1366788595687127</c:v>
                </c:pt>
                <c:pt idx="360">
                  <c:v>0.13570864184506276</c:v>
                </c:pt>
                <c:pt idx="361">
                  <c:v>0.13473829396152179</c:v>
                </c:pt>
                <c:pt idx="362">
                  <c:v>0.13376781684876296</c:v>
                </c:pt>
                <c:pt idx="363">
                  <c:v>0.13279721143758322</c:v>
                </c:pt>
                <c:pt idx="364">
                  <c:v>0.1318264786589026</c:v>
                </c:pt>
                <c:pt idx="365">
                  <c:v>0.13085561944376331</c:v>
                </c:pt>
                <c:pt idx="366">
                  <c:v>0.12988463472332881</c:v>
                </c:pt>
                <c:pt idx="367">
                  <c:v>0.1289135254288829</c:v>
                </c:pt>
                <c:pt idx="368">
                  <c:v>0.12794229249182906</c:v>
                </c:pt>
                <c:pt idx="369">
                  <c:v>0.12697093684368901</c:v>
                </c:pt>
                <c:pt idx="370">
                  <c:v>0.12599945941610247</c:v>
                </c:pt>
                <c:pt idx="371">
                  <c:v>0.12502786114082579</c:v>
                </c:pt>
                <c:pt idx="372">
                  <c:v>0.12405614294973125</c:v>
                </c:pt>
                <c:pt idx="373">
                  <c:v>0.12308430577480628</c:v>
                </c:pt>
                <c:pt idx="374">
                  <c:v>0.12211235054815221</c:v>
                </c:pt>
                <c:pt idx="375">
                  <c:v>0.12114027820198377</c:v>
                </c:pt>
                <c:pt idx="376">
                  <c:v>0.12016808966862798</c:v>
                </c:pt>
                <c:pt idx="377">
                  <c:v>0.11919578588052318</c:v>
                </c:pt>
                <c:pt idx="378">
                  <c:v>0.11822336777021848</c:v>
                </c:pt>
                <c:pt idx="379">
                  <c:v>0.11725083627037236</c:v>
                </c:pt>
                <c:pt idx="380">
                  <c:v>0.11627819231375226</c:v>
                </c:pt>
                <c:pt idx="381">
                  <c:v>0.11530543683323348</c:v>
                </c:pt>
                <c:pt idx="382">
                  <c:v>0.11433257076179811</c:v>
                </c:pt>
                <c:pt idx="383">
                  <c:v>0.11335959503253451</c:v>
                </c:pt>
                <c:pt idx="384">
                  <c:v>0.11238651057863605</c:v>
                </c:pt>
                <c:pt idx="385">
                  <c:v>0.11141331833340047</c:v>
                </c:pt>
                <c:pt idx="386">
                  <c:v>0.11044001923022898</c:v>
                </c:pt>
                <c:pt idx="387">
                  <c:v>0.109466614202625</c:v>
                </c:pt>
                <c:pt idx="388">
                  <c:v>0.10849310418419389</c:v>
                </c:pt>
                <c:pt idx="389">
                  <c:v>0.10751949010864138</c:v>
                </c:pt>
                <c:pt idx="390">
                  <c:v>0.10654577290977325</c:v>
                </c:pt>
                <c:pt idx="391">
                  <c:v>0.10557195352149415</c:v>
                </c:pt>
                <c:pt idx="392">
                  <c:v>0.10459803287780653</c:v>
                </c:pt>
                <c:pt idx="393">
                  <c:v>0.10362401191281029</c:v>
                </c:pt>
                <c:pt idx="394">
                  <c:v>0.10264989156070121</c:v>
                </c:pt>
                <c:pt idx="395">
                  <c:v>0.10167567275577065</c:v>
                </c:pt>
                <c:pt idx="396">
                  <c:v>0.10070135643240433</c:v>
                </c:pt>
                <c:pt idx="397">
                  <c:v>9.9726943525081366E-2</c:v>
                </c:pt>
                <c:pt idx="398">
                  <c:v>9.8752434968373701E-2</c:v>
                </c:pt>
                <c:pt idx="399">
                  <c:v>9.777783169694497E-2</c:v>
                </c:pt>
                <c:pt idx="400">
                  <c:v>9.6803134645549488E-2</c:v>
                </c:pt>
                <c:pt idx="401">
                  <c:v>9.5828344749031763E-2</c:v>
                </c:pt>
                <c:pt idx="402">
                  <c:v>9.4853462942325134E-2</c:v>
                </c:pt>
                <c:pt idx="403">
                  <c:v>9.3878490160451217E-2</c:v>
                </c:pt>
                <c:pt idx="404">
                  <c:v>9.2903427338518932E-2</c:v>
                </c:pt>
                <c:pt idx="405">
                  <c:v>9.1928275411723354E-2</c:v>
                </c:pt>
                <c:pt idx="406">
                  <c:v>9.0953035315345265E-2</c:v>
                </c:pt>
                <c:pt idx="407">
                  <c:v>8.9977707984749772E-2</c:v>
                </c:pt>
                <c:pt idx="408">
                  <c:v>8.9002294355385841E-2</c:v>
                </c:pt>
                <c:pt idx="409">
                  <c:v>8.8026795362785168E-2</c:v>
                </c:pt>
                <c:pt idx="410">
                  <c:v>8.7051211942561213E-2</c:v>
                </c:pt>
                <c:pt idx="411">
                  <c:v>8.6075545030408568E-2</c:v>
                </c:pt>
                <c:pt idx="412">
                  <c:v>8.5099795562101718E-2</c:v>
                </c:pt>
                <c:pt idx="413">
                  <c:v>8.4123964473494517E-2</c:v>
                </c:pt>
                <c:pt idx="414">
                  <c:v>8.3148052700519059E-2</c:v>
                </c:pt>
                <c:pt idx="415">
                  <c:v>8.2172061179184672E-2</c:v>
                </c:pt>
                <c:pt idx="416">
                  <c:v>8.1195990845577326E-2</c:v>
                </c:pt>
                <c:pt idx="417">
                  <c:v>8.0219842635858629E-2</c:v>
                </c:pt>
                <c:pt idx="418">
                  <c:v>7.9243617486264642E-2</c:v>
                </c:pt>
                <c:pt idx="419">
                  <c:v>7.8267316333105519E-2</c:v>
                </c:pt>
                <c:pt idx="420">
                  <c:v>7.7290940112764023E-2</c:v>
                </c:pt>
                <c:pt idx="421">
                  <c:v>7.6314489761695095E-2</c:v>
                </c:pt>
                <c:pt idx="422">
                  <c:v>7.5337966216424829E-2</c:v>
                </c:pt>
                <c:pt idx="423">
                  <c:v>7.4361370413549274E-2</c:v>
                </c:pt>
                <c:pt idx="424">
                  <c:v>7.3384703289734066E-2</c:v>
                </c:pt>
                <c:pt idx="425">
                  <c:v>7.2407965781712991E-2</c:v>
                </c:pt>
                <c:pt idx="426">
                  <c:v>7.1431158826287533E-2</c:v>
                </c:pt>
                <c:pt idx="427">
                  <c:v>7.0454283360325762E-2</c:v>
                </c:pt>
                <c:pt idx="428">
                  <c:v>6.9477340320761291E-2</c:v>
                </c:pt>
                <c:pt idx="429">
                  <c:v>6.8500330644592766E-2</c:v>
                </c:pt>
                <c:pt idx="430">
                  <c:v>6.7523255268882545E-2</c:v>
                </c:pt>
                <c:pt idx="431">
                  <c:v>6.6546115130756159E-2</c:v>
                </c:pt>
                <c:pt idx="432">
                  <c:v>6.5568911167401212E-2</c:v>
                </c:pt>
                <c:pt idx="433">
                  <c:v>6.4591644316066413E-2</c:v>
                </c:pt>
                <c:pt idx="434">
                  <c:v>6.3614315514061007E-2</c:v>
                </c:pt>
                <c:pt idx="435">
                  <c:v>6.2636925698753371E-2</c:v>
                </c:pt>
                <c:pt idx="436">
                  <c:v>6.1659475807570613E-2</c:v>
                </c:pt>
                <c:pt idx="437">
                  <c:v>6.0681966777997497E-2</c:v>
                </c:pt>
                <c:pt idx="438">
                  <c:v>5.9704399547575275E-2</c:v>
                </c:pt>
                <c:pt idx="439">
                  <c:v>5.8726775053901212E-2</c:v>
                </c:pt>
                <c:pt idx="440">
                  <c:v>5.7749094234627513E-2</c:v>
                </c:pt>
                <c:pt idx="441">
                  <c:v>5.6771358027460202E-2</c:v>
                </c:pt>
                <c:pt idx="442">
                  <c:v>5.5793567370158684E-2</c:v>
                </c:pt>
                <c:pt idx="443">
                  <c:v>5.4815723200534343E-2</c:v>
                </c:pt>
                <c:pt idx="444">
                  <c:v>5.3837826456450064E-2</c:v>
                </c:pt>
                <c:pt idx="445">
                  <c:v>5.2859878075819156E-2</c:v>
                </c:pt>
                <c:pt idx="446">
                  <c:v>5.1881878996604271E-2</c:v>
                </c:pt>
                <c:pt idx="447">
                  <c:v>5.0903830156816952E-2</c:v>
                </c:pt>
                <c:pt idx="448">
                  <c:v>4.9925732494516185E-2</c:v>
                </c:pt>
                <c:pt idx="449">
                  <c:v>4.8947586947808E-2</c:v>
                </c:pt>
                <c:pt idx="450">
                  <c:v>4.7969394454844334E-2</c:v>
                </c:pt>
                <c:pt idx="451">
                  <c:v>4.6991155953821979E-2</c:v>
                </c:pt>
                <c:pt idx="452">
                  <c:v>4.601287238298208E-2</c:v>
                </c:pt>
                <c:pt idx="453">
                  <c:v>4.5034544680608787E-2</c:v>
                </c:pt>
                <c:pt idx="454">
                  <c:v>4.4056173785028747E-2</c:v>
                </c:pt>
                <c:pt idx="455">
                  <c:v>4.3077760634610031E-2</c:v>
                </c:pt>
                <c:pt idx="456">
                  <c:v>4.2099306167761079E-2</c:v>
                </c:pt>
                <c:pt idx="457">
                  <c:v>4.1120811322930169E-2</c:v>
                </c:pt>
                <c:pt idx="458">
                  <c:v>4.0142277038604075E-2</c:v>
                </c:pt>
                <c:pt idx="459">
                  <c:v>3.9163704253307598E-2</c:v>
                </c:pt>
                <c:pt idx="460">
                  <c:v>3.8185093905602437E-2</c:v>
                </c:pt>
                <c:pt idx="461">
                  <c:v>3.7206446934086153E-2</c:v>
                </c:pt>
                <c:pt idx="462">
                  <c:v>3.6227764277391605E-2</c:v>
                </c:pt>
                <c:pt idx="463">
                  <c:v>3.5249046874185896E-2</c:v>
                </c:pt>
                <c:pt idx="464">
                  <c:v>3.4270295663169248E-2</c:v>
                </c:pt>
                <c:pt idx="465">
                  <c:v>3.3291511583074571E-2</c:v>
                </c:pt>
                <c:pt idx="466">
                  <c:v>3.2312695572666056E-2</c:v>
                </c:pt>
                <c:pt idx="467">
                  <c:v>3.133384857073869E-2</c:v>
                </c:pt>
                <c:pt idx="468">
                  <c:v>3.0354971516117189E-2</c:v>
                </c:pt>
                <c:pt idx="469">
                  <c:v>2.9376065347654912E-2</c:v>
                </c:pt>
                <c:pt idx="470">
                  <c:v>2.8397131004233387E-2</c:v>
                </c:pt>
                <c:pt idx="471">
                  <c:v>2.7418169424760917E-2</c:v>
                </c:pt>
                <c:pt idx="472">
                  <c:v>2.6439181548172111E-2</c:v>
                </c:pt>
                <c:pt idx="473">
                  <c:v>2.54601683134268E-2</c:v>
                </c:pt>
                <c:pt idx="474">
                  <c:v>2.4481130659508955E-2</c:v>
                </c:pt>
                <c:pt idx="475">
                  <c:v>2.3502069525426217E-2</c:v>
                </c:pt>
                <c:pt idx="476">
                  <c:v>2.2522985850208489E-2</c:v>
                </c:pt>
                <c:pt idx="477">
                  <c:v>2.1543880572907487E-2</c:v>
                </c:pt>
                <c:pt idx="478">
                  <c:v>2.056475463259564E-2</c:v>
                </c:pt>
                <c:pt idx="479">
                  <c:v>1.9585608968365024E-2</c:v>
                </c:pt>
                <c:pt idx="480">
                  <c:v>1.8606444519326866E-2</c:v>
                </c:pt>
                <c:pt idx="481">
                  <c:v>1.7627262224610162E-2</c:v>
                </c:pt>
                <c:pt idx="482">
                  <c:v>1.6648063023361217E-2</c:v>
                </c:pt>
                <c:pt idx="483">
                  <c:v>1.5668847854742544E-2</c:v>
                </c:pt>
                <c:pt idx="484">
                  <c:v>1.4689617657931796E-2</c:v>
                </c:pt>
                <c:pt idx="485">
                  <c:v>1.3710373372121212E-2</c:v>
                </c:pt>
                <c:pt idx="486">
                  <c:v>1.2731115936516553E-2</c:v>
                </c:pt>
                <c:pt idx="487">
                  <c:v>1.1751846290336003E-2</c:v>
                </c:pt>
                <c:pt idx="488">
                  <c:v>1.0772565372809705E-2</c:v>
                </c:pt>
                <c:pt idx="489">
                  <c:v>9.7932741231783662E-3</c:v>
                </c:pt>
                <c:pt idx="490">
                  <c:v>8.8139734806927869E-3</c:v>
                </c:pt>
                <c:pt idx="491">
                  <c:v>7.834664384612779E-3</c:v>
                </c:pt>
                <c:pt idx="492">
                  <c:v>6.8553477742060755E-3</c:v>
                </c:pt>
                <c:pt idx="493">
                  <c:v>5.8760245887478635E-3</c:v>
                </c:pt>
                <c:pt idx="494">
                  <c:v>4.8966957675193878E-3</c:v>
                </c:pt>
                <c:pt idx="495">
                  <c:v>3.9173622498074878E-3</c:v>
                </c:pt>
                <c:pt idx="496">
                  <c:v>2.9380249749035043E-3</c:v>
                </c:pt>
                <c:pt idx="497">
                  <c:v>1.9586848821021956E-3</c:v>
                </c:pt>
                <c:pt idx="498">
                  <c:v>9.7934291070127309E-4</c:v>
                </c:pt>
                <c:pt idx="499">
                  <c:v>0</c:v>
                </c:pt>
              </c:numCache>
            </c:numRef>
          </c:xVal>
          <c:yVal>
            <c:numRef>
              <c:f>Main!$H$12:$H$511</c:f>
              <c:numCache>
                <c:formatCode>General</c:formatCode>
                <c:ptCount val="500"/>
                <c:pt idx="0">
                  <c:v>3.530732012896512E+17</c:v>
                </c:pt>
                <c:pt idx="1">
                  <c:v>6849438.1483569471</c:v>
                </c:pt>
                <c:pt idx="2">
                  <c:v>1710481.4404694617</c:v>
                </c:pt>
                <c:pt idx="3">
                  <c:v>759385.66231532511</c:v>
                </c:pt>
                <c:pt idx="4">
                  <c:v>426692.08688623749</c:v>
                </c:pt>
                <c:pt idx="5">
                  <c:v>272789.30775739125</c:v>
                </c:pt>
                <c:pt idx="6">
                  <c:v>189234.68097779402</c:v>
                </c:pt>
                <c:pt idx="7">
                  <c:v>138882.05094506481</c:v>
                </c:pt>
                <c:pt idx="8">
                  <c:v>106219.5043533899</c:v>
                </c:pt>
                <c:pt idx="9">
                  <c:v>83838.660526837863</c:v>
                </c:pt>
                <c:pt idx="10">
                  <c:v>67838.698081209659</c:v>
                </c:pt>
                <c:pt idx="11">
                  <c:v>56007.130857410586</c:v>
                </c:pt>
                <c:pt idx="12">
                  <c:v>47013.265399276323</c:v>
                </c:pt>
                <c:pt idx="13">
                  <c:v>40017.820097387848</c:v>
                </c:pt>
                <c:pt idx="14">
                  <c:v>34470.237790267107</c:v>
                </c:pt>
                <c:pt idx="15">
                  <c:v>29997.221707635876</c:v>
                </c:pt>
                <c:pt idx="16">
                  <c:v>26338.422121197978</c:v>
                </c:pt>
                <c:pt idx="17">
                  <c:v>23307.784695856593</c:v>
                </c:pt>
                <c:pt idx="18">
                  <c:v>20769.492775919527</c:v>
                </c:pt>
                <c:pt idx="19">
                  <c:v>18622.530033428946</c:v>
                </c:pt>
                <c:pt idx="20">
                  <c:v>16790.506141173482</c:v>
                </c:pt>
                <c:pt idx="21">
                  <c:v>15214.79055138002</c:v>
                </c:pt>
                <c:pt idx="22">
                  <c:v>13849.779962608793</c:v>
                </c:pt>
                <c:pt idx="23">
                  <c:v>12659.5740863673</c:v>
                </c:pt>
                <c:pt idx="24">
                  <c:v>11615.600400554988</c:v>
                </c:pt>
                <c:pt idx="25">
                  <c:v>10694.890474294452</c:v>
                </c:pt>
                <c:pt idx="26">
                  <c:v>9878.8113394935226</c:v>
                </c:pt>
                <c:pt idx="27">
                  <c:v>9152.1196348656613</c:v>
                </c:pt>
                <c:pt idx="28">
                  <c:v>8502.2479802865309</c:v>
                </c:pt>
                <c:pt idx="29">
                  <c:v>7918.7606398065282</c:v>
                </c:pt>
                <c:pt idx="30">
                  <c:v>7392.9340911881527</c:v>
                </c:pt>
                <c:pt idx="31">
                  <c:v>6917.4307923351053</c:v>
                </c:pt>
                <c:pt idx="32">
                  <c:v>6486.043211277798</c:v>
                </c:pt>
                <c:pt idx="33">
                  <c:v>6093.4913445882448</c:v>
                </c:pt>
                <c:pt idx="34">
                  <c:v>5735.2613234243181</c:v>
                </c:pt>
                <c:pt idx="35">
                  <c:v>5407.4758491507046</c:v>
                </c:pt>
                <c:pt idx="36">
                  <c:v>5106.7894826623642</c:v>
                </c:pt>
                <c:pt idx="37">
                  <c:v>4830.3034853214895</c:v>
                </c:pt>
                <c:pt idx="38">
                  <c:v>4575.4961486777565</c:v>
                </c:pt>
                <c:pt idx="39">
                  <c:v>4340.1654757001743</c:v>
                </c:pt>
                <c:pt idx="40">
                  <c:v>4122.3817733760852</c:v>
                </c:pt>
                <c:pt idx="41">
                  <c:v>3920.4482457051022</c:v>
                </c:pt>
                <c:pt idx="42">
                  <c:v>3732.8680807746759</c:v>
                </c:pt>
                <c:pt idx="43">
                  <c:v>3558.316837285588</c:v>
                </c:pt>
                <c:pt idx="44">
                  <c:v>3395.6191775199054</c:v>
                </c:pt>
                <c:pt idx="45">
                  <c:v>3243.7291822724646</c:v>
                </c:pt>
                <c:pt idx="46">
                  <c:v>3101.7136312543039</c:v>
                </c:pt>
                <c:pt idx="47">
                  <c:v>2968.7377493086956</c:v>
                </c:pt>
                <c:pt idx="48">
                  <c:v>2844.053011520788</c:v>
                </c:pt>
                <c:pt idx="49">
                  <c:v>2726.9866743033108</c:v>
                </c:pt>
                <c:pt idx="50">
                  <c:v>2616.9327588949632</c:v>
                </c:pt>
                <c:pt idx="51">
                  <c:v>2513.3442615241675</c:v>
                </c:pt>
                <c:pt idx="52">
                  <c:v>2415.726403209158</c:v>
                </c:pt>
                <c:pt idx="53">
                  <c:v>2323.6307636360029</c:v>
                </c:pt>
                <c:pt idx="54">
                  <c:v>2236.6501692565948</c:v>
                </c:pt>
                <c:pt idx="55">
                  <c:v>2154.4142268170099</c:v>
                </c:pt>
                <c:pt idx="56">
                  <c:v>2076.5854108599083</c:v>
                </c:pt>
                <c:pt idx="57">
                  <c:v>2002.8556280720675</c:v>
                </c:pt>
                <c:pt idx="58">
                  <c:v>1932.9431932134701</c:v>
                </c:pt>
                <c:pt idx="59">
                  <c:v>1866.5901612483906</c:v>
                </c:pt>
                <c:pt idx="60">
                  <c:v>1803.5599685350262</c:v>
                </c:pt>
                <c:pt idx="61">
                  <c:v>1743.6353428391274</c:v>
                </c:pt>
                <c:pt idx="62">
                  <c:v>1686.6164477300965</c:v>
                </c:pt>
                <c:pt idx="63">
                  <c:v>1632.3192318046638</c:v>
                </c:pt>
                <c:pt idx="64">
                  <c:v>1580.5739573093881</c:v>
                </c:pt>
                <c:pt idx="65">
                  <c:v>1531.2238862295744</c:v>
                </c:pt>
                <c:pt idx="66">
                  <c:v>1484.1241048823254</c:v>
                </c:pt>
                <c:pt idx="67">
                  <c:v>1439.1404705817297</c:v>
                </c:pt>
                <c:pt idx="68">
                  <c:v>1396.1486661053953</c:v>
                </c:pt>
                <c:pt idx="69">
                  <c:v>1355.0333495393145</c:v>
                </c:pt>
                <c:pt idx="70">
                  <c:v>1315.6873886667918</c:v>
                </c:pt>
                <c:pt idx="71">
                  <c:v>1278.0111704313958</c:v>
                </c:pt>
                <c:pt idx="72">
                  <c:v>1241.9119771803221</c:v>
                </c:pt>
                <c:pt idx="73">
                  <c:v>1207.3034224110208</c:v>
                </c:pt>
                <c:pt idx="74">
                  <c:v>1174.1049396240278</c:v>
                </c:pt>
                <c:pt idx="75">
                  <c:v>1142.2413186480039</c:v>
                </c:pt>
                <c:pt idx="76">
                  <c:v>1111.6422844662916</c:v>
                </c:pt>
                <c:pt idx="77">
                  <c:v>1082.2421141524085</c:v>
                </c:pt>
                <c:pt idx="78">
                  <c:v>1053.9792880255955</c:v>
                </c:pt>
                <c:pt idx="79">
                  <c:v>1026.7961715784363</c:v>
                </c:pt>
                <c:pt idx="80">
                  <c:v>1000.6387251145626</c:v>
                </c:pt>
                <c:pt idx="81">
                  <c:v>975.45623837242181</c:v>
                </c:pt>
                <c:pt idx="82">
                  <c:v>951.20108770909383</c:v>
                </c:pt>
                <c:pt idx="83">
                  <c:v>927.82851367977651</c:v>
                </c:pt>
                <c:pt idx="84">
                  <c:v>905.29641707888175</c:v>
                </c:pt>
                <c:pt idx="85">
                  <c:v>883.56517171334872</c:v>
                </c:pt>
                <c:pt idx="86">
                  <c:v>862.59745235779167</c:v>
                </c:pt>
                <c:pt idx="87">
                  <c:v>842.35807650203094</c:v>
                </c:pt>
                <c:pt idx="88">
                  <c:v>822.81385864178378</c:v>
                </c:pt>
                <c:pt idx="89">
                  <c:v>803.93347598996638</c:v>
                </c:pt>
                <c:pt idx="90">
                  <c:v>785.6873445972617</c:v>
                </c:pt>
                <c:pt idx="91">
                  <c:v>768.04750497060184</c:v>
                </c:pt>
                <c:pt idx="92">
                  <c:v>750.98751636662678</c:v>
                </c:pt>
                <c:pt idx="93">
                  <c:v>734.48235901680687</c:v>
                </c:pt>
                <c:pt idx="94">
                  <c:v>718.5083436115566</c:v>
                </c:pt>
                <c:pt idx="95">
                  <c:v>703.04302743430003</c:v>
                </c:pt>
                <c:pt idx="96">
                  <c:v>688.0651365932639</c:v>
                </c:pt>
                <c:pt idx="97">
                  <c:v>673.55449384975998</c:v>
                </c:pt>
                <c:pt idx="98">
                  <c:v>659.49195158768282</c:v>
                </c:pt>
                <c:pt idx="99">
                  <c:v>645.85932951012535</c:v>
                </c:pt>
                <c:pt idx="100">
                  <c:v>632.63935668610861</c:v>
                </c:pt>
                <c:pt idx="101">
                  <c:v>619.81561760401212</c:v>
                </c:pt>
                <c:pt idx="102">
                  <c:v>607.37250191832879</c:v>
                </c:pt>
                <c:pt idx="103">
                  <c:v>595.29515760384072</c:v>
                </c:pt>
                <c:pt idx="104">
                  <c:v>583.56944725580024</c:v>
                </c:pt>
                <c:pt idx="105">
                  <c:v>572.18190729710727</c:v>
                </c:pt>
                <c:pt idx="106">
                  <c:v>561.11970987374866</c:v>
                </c:pt>
                <c:pt idx="107">
                  <c:v>550.37062723803376</c:v>
                </c:pt>
                <c:pt idx="108">
                  <c:v>539.92299843579156</c:v>
                </c:pt>
                <c:pt idx="109">
                  <c:v>529.76569812893467</c:v>
                </c:pt>
                <c:pt idx="110">
                  <c:v>519.88810739844507</c:v>
                </c:pt>
                <c:pt idx="111">
                  <c:v>510.28008638542821</c:v>
                </c:pt>
                <c:pt idx="112">
                  <c:v>500.93194863922577</c:v>
                </c:pt>
                <c:pt idx="113">
                  <c:v>491.83443705203865</c:v>
                </c:pt>
                <c:pt idx="114">
                  <c:v>482.97870126900705</c:v>
                </c:pt>
                <c:pt idx="115">
                  <c:v>474.356276471282</c:v>
                </c:pt>
                <c:pt idx="116">
                  <c:v>465.9590634376288</c:v>
                </c:pt>
                <c:pt idx="117">
                  <c:v>457.77930979734674</c:v>
                </c:pt>
                <c:pt idx="118">
                  <c:v>449.80959239388108</c:v>
                </c:pt>
                <c:pt idx="119">
                  <c:v>442.04280068461054</c:v>
                </c:pt>
                <c:pt idx="120">
                  <c:v>434.47212110786541</c:v>
                </c:pt>
                <c:pt idx="121">
                  <c:v>427.091022353357</c:v>
                </c:pt>
                <c:pt idx="122">
                  <c:v>419.89324147687944</c:v>
                </c:pt>
                <c:pt idx="123">
                  <c:v>412.87277080447058</c:v>
                </c:pt>
                <c:pt idx="124">
                  <c:v>406.02384557519184</c:v>
                </c:pt>
                <c:pt idx="125">
                  <c:v>399.34093227532804</c:v>
                </c:pt>
                <c:pt idx="126">
                  <c:v>392.81871762016993</c:v>
                </c:pt>
                <c:pt idx="127">
                  <c:v>386.45209814268247</c:v>
                </c:pt>
                <c:pt idx="128">
                  <c:v>380.2361703511466</c:v>
                </c:pt>
                <c:pt idx="129">
                  <c:v>374.16622142057321</c:v>
                </c:pt>
                <c:pt idx="130">
                  <c:v>368.23772038505518</c:v>
                </c:pt>
                <c:pt idx="131">
                  <c:v>362.44630980055547</c:v>
                </c:pt>
                <c:pt idx="132">
                  <c:v>356.78779784959517</c:v>
                </c:pt>
                <c:pt idx="133">
                  <c:v>351.25815086135634</c:v>
                </c:pt>
                <c:pt idx="134">
                  <c:v>345.8534862223791</c:v>
                </c:pt>
                <c:pt idx="135">
                  <c:v>340.57006565477769</c:v>
                </c:pt>
                <c:pt idx="136">
                  <c:v>335.40428884032059</c:v>
                </c:pt>
                <c:pt idx="137">
                  <c:v>330.35268737028679</c:v>
                </c:pt>
                <c:pt idx="138">
                  <c:v>325.41191900214022</c:v>
                </c:pt>
                <c:pt idx="139">
                  <c:v>320.57876220544375</c:v>
                </c:pt>
                <c:pt idx="140">
                  <c:v>315.85011098047403</c:v>
                </c:pt>
                <c:pt idx="141">
                  <c:v>311.22296993408293</c:v>
                </c:pt>
                <c:pt idx="142">
                  <c:v>306.69444959833112</c:v>
                </c:pt>
                <c:pt idx="143">
                  <c:v>302.26176197830881</c:v>
                </c:pt>
                <c:pt idx="144">
                  <c:v>297.92221631643343</c:v>
                </c:pt>
                <c:pt idx="145">
                  <c:v>293.67321506128985</c:v>
                </c:pt>
                <c:pt idx="146">
                  <c:v>289.51225002979857</c:v>
                </c:pt>
                <c:pt idx="147">
                  <c:v>285.43689875220321</c:v>
                </c:pt>
                <c:pt idx="148">
                  <c:v>281.44482099002096</c:v>
                </c:pt>
                <c:pt idx="149">
                  <c:v>277.53375541764075</c:v>
                </c:pt>
                <c:pt idx="150">
                  <c:v>273.7015164588617</c:v>
                </c:pt>
                <c:pt idx="151">
                  <c:v>269.94599127017761</c:v>
                </c:pt>
                <c:pt idx="152">
                  <c:v>266.26513686306106</c:v>
                </c:pt>
                <c:pt idx="153">
                  <c:v>262.65697735801177</c:v>
                </c:pt>
                <c:pt idx="154">
                  <c:v>259.11960136349813</c:v>
                </c:pt>
                <c:pt idx="155">
                  <c:v>255.6511594733665</c:v>
                </c:pt>
                <c:pt idx="156">
                  <c:v>252.24986187663637</c:v>
                </c:pt>
                <c:pt idx="157">
                  <c:v>248.91397607395996</c:v>
                </c:pt>
                <c:pt idx="158">
                  <c:v>245.64182469534273</c:v>
                </c:pt>
                <c:pt idx="159">
                  <c:v>242.43178341402734</c:v>
                </c:pt>
                <c:pt idx="160">
                  <c:v>239.28227895174544</c:v>
                </c:pt>
                <c:pt idx="161">
                  <c:v>236.19178717078285</c:v>
                </c:pt>
                <c:pt idx="162">
                  <c:v>233.15883124857942</c:v>
                </c:pt>
                <c:pt idx="163">
                  <c:v>230.18197993081191</c:v>
                </c:pt>
                <c:pt idx="164">
                  <c:v>227.25984585912923</c:v>
                </c:pt>
                <c:pt idx="165">
                  <c:v>224.39108396991597</c:v>
                </c:pt>
                <c:pt idx="166">
                  <c:v>221.57438996067273</c:v>
                </c:pt>
                <c:pt idx="167">
                  <c:v>218.80849882075941</c:v>
                </c:pt>
                <c:pt idx="168">
                  <c:v>216.0921834234442</c:v>
                </c:pt>
                <c:pt idx="169">
                  <c:v>213.42425317635477</c:v>
                </c:pt>
                <c:pt idx="170">
                  <c:v>210.80355272757782</c:v>
                </c:pt>
                <c:pt idx="171">
                  <c:v>208.228960724806</c:v>
                </c:pt>
                <c:pt idx="172">
                  <c:v>205.69938862506871</c:v>
                </c:pt>
                <c:pt idx="173">
                  <c:v>203.2137795526894</c:v>
                </c:pt>
                <c:pt idx="174">
                  <c:v>200.77110720327806</c:v>
                </c:pt>
                <c:pt idx="175">
                  <c:v>198.3703747916241</c:v>
                </c:pt>
                <c:pt idx="176">
                  <c:v>196.01061404151645</c:v>
                </c:pt>
                <c:pt idx="177">
                  <c:v>193.69088421558146</c:v>
                </c:pt>
                <c:pt idx="178">
                  <c:v>191.41027118334213</c:v>
                </c:pt>
                <c:pt idx="179">
                  <c:v>189.16788652579083</c:v>
                </c:pt>
                <c:pt idx="180">
                  <c:v>186.96286667485188</c:v>
                </c:pt>
                <c:pt idx="181">
                  <c:v>184.79437208618555</c:v>
                </c:pt>
                <c:pt idx="182">
                  <c:v>182.66158644387534</c:v>
                </c:pt>
                <c:pt idx="183">
                  <c:v>180.56371589559419</c:v>
                </c:pt>
                <c:pt idx="184">
                  <c:v>178.49998831693344</c:v>
                </c:pt>
                <c:pt idx="185">
                  <c:v>176.46965260361881</c:v>
                </c:pt>
                <c:pt idx="186">
                  <c:v>174.47197799043028</c:v>
                </c:pt>
                <c:pt idx="187">
                  <c:v>172.50625339566432</c:v>
                </c:pt>
                <c:pt idx="188">
                  <c:v>170.57178679006532</c:v>
                </c:pt>
                <c:pt idx="189">
                  <c:v>168.66790458917896</c:v>
                </c:pt>
                <c:pt idx="190">
                  <c:v>166.79395106814744</c:v>
                </c:pt>
                <c:pt idx="191">
                  <c:v>164.94928779799983</c:v>
                </c:pt>
                <c:pt idx="192">
                  <c:v>163.13329310254471</c:v>
                </c:pt>
                <c:pt idx="193">
                  <c:v>161.34536153501108</c:v>
                </c:pt>
                <c:pt idx="194">
                  <c:v>159.58490337361434</c:v>
                </c:pt>
                <c:pt idx="195">
                  <c:v>157.8513441352832</c:v>
                </c:pt>
                <c:pt idx="196">
                  <c:v>156.14412410679012</c:v>
                </c:pt>
                <c:pt idx="197">
                  <c:v>154.46269789259239</c:v>
                </c:pt>
                <c:pt idx="198">
                  <c:v>152.80653397869375</c:v>
                </c:pt>
                <c:pt idx="199">
                  <c:v>151.17511431189422</c:v>
                </c:pt>
                <c:pt idx="200">
                  <c:v>149.56793389380201</c:v>
                </c:pt>
                <c:pt idx="201">
                  <c:v>147.98450038902479</c:v>
                </c:pt>
                <c:pt idx="202">
                  <c:v>146.42433374697552</c:v>
                </c:pt>
                <c:pt idx="203">
                  <c:v>144.88696583675684</c:v>
                </c:pt>
                <c:pt idx="204">
                  <c:v>143.37194009460907</c:v>
                </c:pt>
                <c:pt idx="205">
                  <c:v>141.87881118342963</c:v>
                </c:pt>
                <c:pt idx="206">
                  <c:v>140.40714466390014</c:v>
                </c:pt>
                <c:pt idx="207">
                  <c:v>138.9565166767625</c:v>
                </c:pt>
                <c:pt idx="208">
                  <c:v>137.52651363582299</c:v>
                </c:pt>
                <c:pt idx="209">
                  <c:v>136.11673193126853</c:v>
                </c:pt>
                <c:pt idx="210">
                  <c:v>134.72677764290322</c:v>
                </c:pt>
                <c:pt idx="211">
                  <c:v>133.35626626292455</c:v>
                </c:pt>
                <c:pt idx="212">
                  <c:v>132.00482242788806</c:v>
                </c:pt>
                <c:pt idx="213">
                  <c:v>130.67207965950115</c:v>
                </c:pt>
                <c:pt idx="214">
                  <c:v>129.35768011392798</c:v>
                </c:pt>
                <c:pt idx="215">
                  <c:v>128.06127433928003</c:v>
                </c:pt>
                <c:pt idx="216">
                  <c:v>126.78252104099276</c:v>
                </c:pt>
                <c:pt idx="217">
                  <c:v>125.5210868547933</c:v>
                </c:pt>
                <c:pt idx="218">
                  <c:v>124.27664612698553</c:v>
                </c:pt>
                <c:pt idx="219">
                  <c:v>123.04888070177823</c:v>
                </c:pt>
                <c:pt idx="220">
                  <c:v>121.83747971540546</c:v>
                </c:pt>
                <c:pt idx="221">
                  <c:v>120.64213939678756</c:v>
                </c:pt>
                <c:pt idx="222">
                  <c:v>119.46256287450116</c:v>
                </c:pt>
                <c:pt idx="223">
                  <c:v>118.29845998982938</c:v>
                </c:pt>
                <c:pt idx="224">
                  <c:v>117.14954711567131</c:v>
                </c:pt>
                <c:pt idx="225">
                  <c:v>116.0155469811103</c:v>
                </c:pt>
                <c:pt idx="226">
                  <c:v>114.8961885014299</c:v>
                </c:pt>
                <c:pt idx="227">
                  <c:v>113.79120661339425</c:v>
                </c:pt>
                <c:pt idx="228">
                  <c:v>112.70034211560102</c:v>
                </c:pt>
                <c:pt idx="229">
                  <c:v>111.62334151373373</c:v>
                </c:pt>
                <c:pt idx="230">
                  <c:v>110.55995687053901</c:v>
                </c:pt>
                <c:pt idx="231">
                  <c:v>109.50994566036908</c:v>
                </c:pt>
                <c:pt idx="232">
                  <c:v>108.47307062812585</c:v>
                </c:pt>
                <c:pt idx="233">
                  <c:v>107.44909965246147</c:v>
                </c:pt>
                <c:pt idx="234">
                  <c:v>106.43780561308398</c:v>
                </c:pt>
                <c:pt idx="235">
                  <c:v>105.43896626203181</c:v>
                </c:pt>
                <c:pt idx="236">
                  <c:v>104.45236409877944</c:v>
                </c:pt>
                <c:pt idx="237">
                  <c:v>103.47778624904691</c:v>
                </c:pt>
                <c:pt idx="238">
                  <c:v>102.51502434718577</c:v>
                </c:pt>
                <c:pt idx="239">
                  <c:v>101.56387442202441</c:v>
                </c:pt>
                <c:pt idx="240">
                  <c:v>100.62413678605419</c:v>
                </c:pt>
                <c:pt idx="241">
                  <c:v>99.695615927847456</c:v>
                </c:pt>
                <c:pt idx="242">
                  <c:v>98.778120407598223</c:v>
                </c:pt>
                <c:pt idx="243">
                  <c:v>97.871462755684462</c:v>
                </c:pt>
                <c:pt idx="244">
                  <c:v>96.975459374151455</c:v>
                </c:pt>
                <c:pt idx="245">
                  <c:v>96.08993044102003</c:v>
                </c:pt>
                <c:pt idx="246">
                  <c:v>95.214699817328878</c:v>
                </c:pt>
                <c:pt idx="247">
                  <c:v>94.349594956821619</c:v>
                </c:pt>
                <c:pt idx="248">
                  <c:v>93.494446818191093</c:v>
                </c:pt>
                <c:pt idx="249">
                  <c:v>92.649089779803717</c:v>
                </c:pt>
                <c:pt idx="250">
                  <c:v>91.813361556816304</c:v>
                </c:pt>
                <c:pt idx="251">
                  <c:v>90.987103120616922</c:v>
                </c:pt>
                <c:pt idx="252">
                  <c:v>90.170158620510108</c:v>
                </c:pt>
                <c:pt idx="253">
                  <c:v>89.362375307577807</c:v>
                </c:pt>
                <c:pt idx="254">
                  <c:v>88.563603460646746</c:v>
                </c:pt>
                <c:pt idx="255">
                  <c:v>87.773696314295663</c:v>
                </c:pt>
                <c:pt idx="256">
                  <c:v>86.992509988838734</c:v>
                </c:pt>
                <c:pt idx="257">
                  <c:v>86.219903422222671</c:v>
                </c:pt>
                <c:pt idx="258">
                  <c:v>85.455738303780052</c:v>
                </c:pt>
                <c:pt idx="259">
                  <c:v>84.699879009777405</c:v>
                </c:pt>
                <c:pt idx="260">
                  <c:v>83.952192540708154</c:v>
                </c:pt>
                <c:pt idx="261">
                  <c:v>83.212548460270426</c:v>
                </c:pt>
                <c:pt idx="262">
                  <c:v>82.480818835983783</c:v>
                </c:pt>
                <c:pt idx="263">
                  <c:v>81.756878181389908</c:v>
                </c:pt>
                <c:pt idx="264">
                  <c:v>81.040603399794591</c:v>
                </c:pt>
                <c:pt idx="265">
                  <c:v>80.331873729497261</c:v>
                </c:pt>
                <c:pt idx="266">
                  <c:v>79.63057069047025</c:v>
                </c:pt>
                <c:pt idx="267">
                  <c:v>78.936578032438945</c:v>
                </c:pt>
                <c:pt idx="268">
                  <c:v>78.249781684323494</c:v>
                </c:pt>
                <c:pt idx="269">
                  <c:v>77.570069705001018</c:v>
                </c:pt>
                <c:pt idx="270">
                  <c:v>76.897332235347207</c:v>
                </c:pt>
                <c:pt idx="271">
                  <c:v>76.231461451522634</c:v>
                </c:pt>
                <c:pt idx="272">
                  <c:v>75.572351519464121</c:v>
                </c:pt>
                <c:pt idx="273">
                  <c:v>74.919898550546804</c:v>
                </c:pt>
                <c:pt idx="274">
                  <c:v>74.274000558382753</c:v>
                </c:pt>
                <c:pt idx="275">
                  <c:v>73.634557416722416</c:v>
                </c:pt>
                <c:pt idx="276">
                  <c:v>73.001470818426711</c:v>
                </c:pt>
                <c:pt idx="277">
                  <c:v>72.374644235480019</c:v>
                </c:pt>
                <c:pt idx="278">
                  <c:v>71.753982880011435</c:v>
                </c:pt>
                <c:pt idx="279">
                  <c:v>71.139393666297693</c:v>
                </c:pt>
                <c:pt idx="280">
                  <c:v>70.530785173717931</c:v>
                </c:pt>
                <c:pt idx="281">
                  <c:v>69.928067610634329</c:v>
                </c:pt>
                <c:pt idx="282">
                  <c:v>69.331152779170395</c:v>
                </c:pt>
                <c:pt idx="283">
                  <c:v>68.739954040864163</c:v>
                </c:pt>
                <c:pt idx="284">
                  <c:v>68.154386283167455</c:v>
                </c:pt>
                <c:pt idx="285">
                  <c:v>67.574365886772711</c:v>
                </c:pt>
                <c:pt idx="286">
                  <c:v>66.999810693737643</c:v>
                </c:pt>
                <c:pt idx="287">
                  <c:v>66.430639976392285</c:v>
                </c:pt>
                <c:pt idx="288">
                  <c:v>65.86677440699998</c:v>
                </c:pt>
                <c:pt idx="289">
                  <c:v>65.308136028156454</c:v>
                </c:pt>
                <c:pt idx="290">
                  <c:v>64.75464822390299</c:v>
                </c:pt>
                <c:pt idx="291">
                  <c:v>64.206235691536449</c:v>
                </c:pt>
                <c:pt idx="292">
                  <c:v>63.662824414094622</c:v>
                </c:pt>
                <c:pt idx="293">
                  <c:v>63.124341633500812</c:v>
                </c:pt>
                <c:pt idx="294">
                  <c:v>62.590715824346944</c:v>
                </c:pt>
                <c:pt idx="295">
                  <c:v>62.061876668299632</c:v>
                </c:pt>
                <c:pt idx="296">
                  <c:v>61.537755029112148</c:v>
                </c:pt>
                <c:pt idx="297">
                  <c:v>61.018282928224352</c:v>
                </c:pt>
                <c:pt idx="298">
                  <c:v>60.5033935209361</c:v>
                </c:pt>
                <c:pt idx="299">
                  <c:v>59.993021073138827</c:v>
                </c:pt>
                <c:pt idx="300">
                  <c:v>59.487100938588561</c:v>
                </c:pt>
                <c:pt idx="301">
                  <c:v>58.985569536707843</c:v>
                </c:pt>
                <c:pt idx="302">
                  <c:v>58.488364330900886</c:v>
                </c:pt>
                <c:pt idx="303">
                  <c:v>57.995423807369598</c:v>
                </c:pt>
                <c:pt idx="304">
                  <c:v>57.506687454416095</c:v>
                </c:pt>
                <c:pt idx="305">
                  <c:v>57.022095742218809</c:v>
                </c:pt>
                <c:pt idx="306">
                  <c:v>56.541590103071364</c:v>
                </c:pt>
                <c:pt idx="307">
                  <c:v>56.065112912069218</c:v>
                </c:pt>
                <c:pt idx="308">
                  <c:v>55.592607468235087</c:v>
                </c:pt>
                <c:pt idx="309">
                  <c:v>55.124017976069631</c:v>
                </c:pt>
                <c:pt idx="310">
                  <c:v>54.659289527517387</c:v>
                </c:pt>
                <c:pt idx="311">
                  <c:v>54.198368084337105</c:v>
                </c:pt>
                <c:pt idx="312">
                  <c:v>53.741200460865116</c:v>
                </c:pt>
                <c:pt idx="313">
                  <c:v>53.287734307162935</c:v>
                </c:pt>
                <c:pt idx="314">
                  <c:v>52.837918092537571</c:v>
                </c:pt>
                <c:pt idx="315">
                  <c:v>52.391701089426562</c:v>
                </c:pt>
                <c:pt idx="316">
                  <c:v>51.949033357637155</c:v>
                </c:pt>
                <c:pt idx="317">
                  <c:v>51.509865728931189</c:v>
                </c:pt>
                <c:pt idx="318">
                  <c:v>51.074149791946418</c:v>
                </c:pt>
                <c:pt idx="319">
                  <c:v>50.641837877446505</c:v>
                </c:pt>
                <c:pt idx="320">
                  <c:v>50.212883043890059</c:v>
                </c:pt>
                <c:pt idx="321">
                  <c:v>49.787239063312356</c:v>
                </c:pt>
                <c:pt idx="322">
                  <c:v>49.364860407509603</c:v>
                </c:pt>
                <c:pt idx="323">
                  <c:v>48.945702234520532</c:v>
                </c:pt>
                <c:pt idx="324">
                  <c:v>48.529720375395989</c:v>
                </c:pt>
                <c:pt idx="325">
                  <c:v>48.116871321250279</c:v>
                </c:pt>
                <c:pt idx="326">
                  <c:v>47.707112210586715</c:v>
                </c:pt>
                <c:pt idx="327">
                  <c:v>47.300400816891241</c:v>
                </c:pt>
                <c:pt idx="328">
                  <c:v>46.896695536486156</c:v>
                </c:pt>
                <c:pt idx="329">
                  <c:v>46.495955376638925</c:v>
                </c:pt>
                <c:pt idx="330">
                  <c:v>46.098139943918966</c:v>
                </c:pt>
                <c:pt idx="331">
                  <c:v>45.703209432796029</c:v>
                </c:pt>
                <c:pt idx="332">
                  <c:v>45.311124614475361</c:v>
                </c:pt>
                <c:pt idx="333">
                  <c:v>44.921846825962</c:v>
                </c:pt>
                <c:pt idx="334">
                  <c:v>44.535337959350564</c:v>
                </c:pt>
                <c:pt idx="335">
                  <c:v>44.15156045133358</c:v>
                </c:pt>
                <c:pt idx="336">
                  <c:v>43.770477272923415</c:v>
                </c:pt>
                <c:pt idx="337">
                  <c:v>43.392051919383128</c:v>
                </c:pt>
                <c:pt idx="338">
                  <c:v>43.016248400359615</c:v>
                </c:pt>
                <c:pt idx="339">
                  <c:v>42.643031230216849</c:v>
                </c:pt>
                <c:pt idx="340">
                  <c:v>42.272365418560859</c:v>
                </c:pt>
                <c:pt idx="341">
                  <c:v>41.904216460954771</c:v>
                </c:pt>
                <c:pt idx="342">
                  <c:v>41.538550329817795</c:v>
                </c:pt>
                <c:pt idx="343">
                  <c:v>41.175333465504046</c:v>
                </c:pt>
                <c:pt idx="344">
                  <c:v>40.814532767556727</c:v>
                </c:pt>
                <c:pt idx="345">
                  <c:v>40.456115586133947</c:v>
                </c:pt>
                <c:pt idx="346">
                  <c:v>40.10004971360118</c:v>
                </c:pt>
                <c:pt idx="347">
                  <c:v>39.746303376287244</c:v>
                </c:pt>
                <c:pt idx="348">
                  <c:v>39.394845226399212</c:v>
                </c:pt>
                <c:pt idx="349">
                  <c:v>39.04564433409292</c:v>
                </c:pt>
                <c:pt idx="350">
                  <c:v>38.69867017969473</c:v>
                </c:pt>
                <c:pt idx="351">
                  <c:v>38.353892646071628</c:v>
                </c:pt>
                <c:pt idx="352">
                  <c:v>38.011282011145838</c:v>
                </c:pt>
                <c:pt idx="353">
                  <c:v>37.670808940550003</c:v>
                </c:pt>
                <c:pt idx="354">
                  <c:v>37.332444480420506</c:v>
                </c:pt>
                <c:pt idx="355">
                  <c:v>36.996160050324562</c:v>
                </c:pt>
                <c:pt idx="356">
                  <c:v>36.661927436319026</c:v>
                </c:pt>
                <c:pt idx="357">
                  <c:v>36.329718784136752</c:v>
                </c:pt>
                <c:pt idx="358">
                  <c:v>35.99950659249803</c:v>
                </c:pt>
                <c:pt idx="359">
                  <c:v>35.671263706543826</c:v>
                </c:pt>
                <c:pt idx="360">
                  <c:v>35.344963311388533</c:v>
                </c:pt>
                <c:pt idx="361">
                  <c:v>35.020578925787973</c:v>
                </c:pt>
                <c:pt idx="362">
                  <c:v>34.698084395921811</c:v>
                </c:pt>
                <c:pt idx="363">
                  <c:v>34.377453889285874</c:v>
                </c:pt>
                <c:pt idx="364">
                  <c:v>34.058661888693052</c:v>
                </c:pt>
                <c:pt idx="365">
                  <c:v>33.741683186379099</c:v>
                </c:pt>
                <c:pt idx="366">
                  <c:v>33.426492878211818</c:v>
                </c:pt>
                <c:pt idx="367">
                  <c:v>33.11306635800031</c:v>
                </c:pt>
                <c:pt idx="368">
                  <c:v>32.801379311902565</c:v>
                </c:pt>
                <c:pt idx="369">
                  <c:v>32.491407712928236</c:v>
                </c:pt>
                <c:pt idx="370">
                  <c:v>32.183127815535272</c:v>
                </c:pt>
                <c:pt idx="371">
                  <c:v>31.876516150317098</c:v>
                </c:pt>
                <c:pt idx="372">
                  <c:v>31.571549518779165</c:v>
                </c:pt>
                <c:pt idx="373">
                  <c:v>31.268204988201685</c:v>
                </c:pt>
                <c:pt idx="374">
                  <c:v>30.966459886587216</c:v>
                </c:pt>
                <c:pt idx="375">
                  <c:v>30.666291797690697</c:v>
                </c:pt>
                <c:pt idx="376">
                  <c:v>30.367678556130031</c:v>
                </c:pt>
                <c:pt idx="377">
                  <c:v>30.070598242574814</c:v>
                </c:pt>
                <c:pt idx="378">
                  <c:v>29.775029179012073</c:v>
                </c:pt>
                <c:pt idx="379">
                  <c:v>29.480949924086236</c:v>
                </c:pt>
                <c:pt idx="380">
                  <c:v>29.188339268511982</c:v>
                </c:pt>
                <c:pt idx="381">
                  <c:v>28.897176230558166</c:v>
                </c:pt>
                <c:pt idx="382">
                  <c:v>28.607440051600573</c:v>
                </c:pt>
                <c:pt idx="383">
                  <c:v>28.319110191742414</c:v>
                </c:pt>
                <c:pt idx="384">
                  <c:v>28.032166325500036</c:v>
                </c:pt>
                <c:pt idx="385">
                  <c:v>27.746588337552996</c:v>
                </c:pt>
                <c:pt idx="386">
                  <c:v>27.462356318556274</c:v>
                </c:pt>
                <c:pt idx="387">
                  <c:v>27.179450561012914</c:v>
                </c:pt>
                <c:pt idx="388">
                  <c:v>26.897851555206167</c:v>
                </c:pt>
                <c:pt idx="389">
                  <c:v>26.617539985188799</c:v>
                </c:pt>
                <c:pt idx="390">
                  <c:v>26.338496724828481</c:v>
                </c:pt>
                <c:pt idx="391">
                  <c:v>26.060702833907577</c:v>
                </c:pt>
                <c:pt idx="392">
                  <c:v>25.784139554275889</c:v>
                </c:pt>
                <c:pt idx="393">
                  <c:v>25.508788306054832</c:v>
                </c:pt>
                <c:pt idx="394">
                  <c:v>25.234630683891741</c:v>
                </c:pt>
                <c:pt idx="395">
                  <c:v>24.961648453262651</c:v>
                </c:pt>
                <c:pt idx="396">
                  <c:v>24.689823546822556</c:v>
                </c:pt>
                <c:pt idx="397">
                  <c:v>24.419138060801018</c:v>
                </c:pt>
                <c:pt idx="398">
                  <c:v>24.149574251442907</c:v>
                </c:pt>
                <c:pt idx="399">
                  <c:v>23.881114531491832</c:v>
                </c:pt>
                <c:pt idx="400">
                  <c:v>23.61374146671546</c:v>
                </c:pt>
                <c:pt idx="401">
                  <c:v>23.347437772471601</c:v>
                </c:pt>
                <c:pt idx="402">
                  <c:v>23.082186310313368</c:v>
                </c:pt>
                <c:pt idx="403">
                  <c:v>22.817970084632343</c:v>
                </c:pt>
                <c:pt idx="404">
                  <c:v>22.554772239338693</c:v>
                </c:pt>
                <c:pt idx="405">
                  <c:v>22.292576054576312</c:v>
                </c:pt>
                <c:pt idx="406">
                  <c:v>22.031364943472994</c:v>
                </c:pt>
                <c:pt idx="407">
                  <c:v>21.771122448922959</c:v>
                </c:pt>
                <c:pt idx="408">
                  <c:v>21.511832240401834</c:v>
                </c:pt>
                <c:pt idx="409">
                  <c:v>21.253478110812022</c:v>
                </c:pt>
                <c:pt idx="410">
                  <c:v>20.996043973357732</c:v>
                </c:pt>
                <c:pt idx="411">
                  <c:v>20.739513858448529</c:v>
                </c:pt>
                <c:pt idx="412">
                  <c:v>20.483871910629787</c:v>
                </c:pt>
                <c:pt idx="413">
                  <c:v>20.229102385539651</c:v>
                </c:pt>
                <c:pt idx="414">
                  <c:v>19.975189646890783</c:v>
                </c:pt>
                <c:pt idx="415">
                  <c:v>19.722118163475798</c:v>
                </c:pt>
                <c:pt idx="416">
                  <c:v>19.469872506195809</c:v>
                </c:pt>
                <c:pt idx="417">
                  <c:v>19.218437345110189</c:v>
                </c:pt>
                <c:pt idx="418">
                  <c:v>18.967797446507181</c:v>
                </c:pt>
                <c:pt idx="419">
                  <c:v>18.717937669993848</c:v>
                </c:pt>
                <c:pt idx="420">
                  <c:v>18.468842965604154</c:v>
                </c:pt>
                <c:pt idx="421">
                  <c:v>18.220498370924577</c:v>
                </c:pt>
                <c:pt idx="422">
                  <c:v>17.972889008235633</c:v>
                </c:pt>
                <c:pt idx="423">
                  <c:v>17.726000081668644</c:v>
                </c:pt>
                <c:pt idx="424">
                  <c:v>17.479816874376418</c:v>
                </c:pt>
                <c:pt idx="425">
                  <c:v>17.234324745716609</c:v>
                </c:pt>
                <c:pt idx="426">
                  <c:v>16.989509128447359</c:v>
                </c:pt>
                <c:pt idx="427">
                  <c:v>16.745355525933217</c:v>
                </c:pt>
                <c:pt idx="428">
                  <c:v>16.501849509360881</c:v>
                </c:pt>
                <c:pt idx="429">
                  <c:v>16.258976714963499</c:v>
                </c:pt>
                <c:pt idx="430">
                  <c:v>16.01672284125241</c:v>
                </c:pt>
                <c:pt idx="431">
                  <c:v>15.775073646255269</c:v>
                </c:pt>
                <c:pt idx="432">
                  <c:v>15.53401494475929</c:v>
                </c:pt>
                <c:pt idx="433">
                  <c:v>15.293532605558806</c:v>
                </c:pt>
                <c:pt idx="434">
                  <c:v>15.0536125487059</c:v>
                </c:pt>
                <c:pt idx="435">
                  <c:v>14.814240742762742</c:v>
                </c:pt>
                <c:pt idx="436">
                  <c:v>14.575403202054922</c:v>
                </c:pt>
                <c:pt idx="437">
                  <c:v>14.337085983924384</c:v>
                </c:pt>
                <c:pt idx="438">
                  <c:v>14.09927518598076</c:v>
                </c:pt>
                <c:pt idx="439">
                  <c:v>13.861956943350364</c:v>
                </c:pt>
                <c:pt idx="440">
                  <c:v>13.625117425920958</c:v>
                </c:pt>
                <c:pt idx="441">
                  <c:v>13.388742835581875</c:v>
                </c:pt>
                <c:pt idx="442">
                  <c:v>13.152819403457844</c:v>
                </c:pt>
                <c:pt idx="443">
                  <c:v>12.917333387135253</c:v>
                </c:pt>
                <c:pt idx="444">
                  <c:v>12.682271067880214</c:v>
                </c:pt>
                <c:pt idx="445">
                  <c:v>12.447618747846294</c:v>
                </c:pt>
                <c:pt idx="446">
                  <c:v>12.213362747271468</c:v>
                </c:pt>
                <c:pt idx="447">
                  <c:v>11.979489401662624</c:v>
                </c:pt>
                <c:pt idx="448">
                  <c:v>11.745985058966264</c:v>
                </c:pt>
                <c:pt idx="449">
                  <c:v>11.512836076724394</c:v>
                </c:pt>
                <c:pt idx="450">
                  <c:v>11.28002881921393</c:v>
                </c:pt>
                <c:pt idx="451">
                  <c:v>11.047549654568577</c:v>
                </c:pt>
                <c:pt idx="452">
                  <c:v>10.815384951881532</c:v>
                </c:pt>
                <c:pt idx="453">
                  <c:v>10.583521078287632</c:v>
                </c:pt>
                <c:pt idx="454">
                  <c:v>10.351944396023821</c:v>
                </c:pt>
                <c:pt idx="455">
                  <c:v>10.120641259466083</c:v>
                </c:pt>
                <c:pt idx="456">
                  <c:v>9.8895980121414251</c:v>
                </c:pt>
                <c:pt idx="457">
                  <c:v>9.6588009837137854</c:v>
                </c:pt>
                <c:pt idx="458">
                  <c:v>9.4282364869414668</c:v>
                </c:pt>
                <c:pt idx="459">
                  <c:v>9.1978908146056106</c:v>
                </c:pt>
                <c:pt idx="460">
                  <c:v>8.96775023640709</c:v>
                </c:pt>
                <c:pt idx="461">
                  <c:v>8.7378009958306748</c:v>
                </c:pt>
                <c:pt idx="462">
                  <c:v>8.5080293069747537</c:v>
                </c:pt>
                <c:pt idx="463">
                  <c:v>8.2784213513446705</c:v>
                </c:pt>
                <c:pt idx="464">
                  <c:v>8.04896327460796</c:v>
                </c:pt>
                <c:pt idx="465">
                  <c:v>7.8196411833098898</c:v>
                </c:pt>
                <c:pt idx="466">
                  <c:v>7.5904411415468473</c:v>
                </c:pt>
                <c:pt idx="467">
                  <c:v>7.3613491675964777</c:v>
                </c:pt>
                <c:pt idx="468">
                  <c:v>7.132351230501742</c:v>
                </c:pt>
                <c:pt idx="469">
                  <c:v>6.9034332466074257</c:v>
                </c:pt>
                <c:pt idx="470">
                  <c:v>6.6745810760469464</c:v>
                </c:pt>
                <c:pt idx="471">
                  <c:v>6.4457805191769575</c:v>
                </c:pt>
                <c:pt idx="472">
                  <c:v>6.2170173129580126</c:v>
                </c:pt>
                <c:pt idx="473">
                  <c:v>5.9882771272787387</c:v>
                </c:pt>
                <c:pt idx="474">
                  <c:v>5.7595455612211657</c:v>
                </c:pt>
                <c:pt idx="475">
                  <c:v>5.5308081392651598</c:v>
                </c:pt>
                <c:pt idx="476">
                  <c:v>5.3020503074287797</c:v>
                </c:pt>
                <c:pt idx="477">
                  <c:v>5.0732574293429513</c:v>
                </c:pt>
                <c:pt idx="478">
                  <c:v>4.8444147822570338</c:v>
                </c:pt>
                <c:pt idx="479">
                  <c:v>4.6155075529728533</c:v>
                </c:pt>
                <c:pt idx="480">
                  <c:v>4.3865208337046084</c:v>
                </c:pt>
                <c:pt idx="481">
                  <c:v>4.1574396178614696</c:v>
                </c:pt>
                <c:pt idx="482">
                  <c:v>3.928248795750072</c:v>
                </c:pt>
                <c:pt idx="483">
                  <c:v>3.6989331501937603</c:v>
                </c:pt>
                <c:pt idx="484">
                  <c:v>3.4694773520653772</c:v>
                </c:pt>
                <c:pt idx="485">
                  <c:v>3.2398659557305414</c:v>
                </c:pt>
                <c:pt idx="486">
                  <c:v>3.010083394397761</c:v>
                </c:pt>
                <c:pt idx="487">
                  <c:v>2.7801139753719797</c:v>
                </c:pt>
                <c:pt idx="488">
                  <c:v>2.5499418752081451</c:v>
                </c:pt>
                <c:pt idx="489">
                  <c:v>2.3195511347605891</c:v>
                </c:pt>
                <c:pt idx="490">
                  <c:v>2.0889256541250165</c:v>
                </c:pt>
                <c:pt idx="491">
                  <c:v>1.8580491874684701</c:v>
                </c:pt>
                <c:pt idx="492">
                  <c:v>1.6269053377433684</c:v>
                </c:pt>
                <c:pt idx="493">
                  <c:v>1.3954775512817159</c:v>
                </c:pt>
                <c:pt idx="494">
                  <c:v>1.1637491122641865</c:v>
                </c:pt>
                <c:pt idx="495">
                  <c:v>0.93170313706042096</c:v>
                </c:pt>
                <c:pt idx="496">
                  <c:v>0.69932256843513196</c:v>
                </c:pt>
                <c:pt idx="497">
                  <c:v>0.46659016961519484</c:v>
                </c:pt>
                <c:pt idx="498">
                  <c:v>0.23348851821299055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BD-406C-9565-DE91BC167327}"/>
            </c:ext>
          </c:extLst>
        </c:ser>
        <c:ser>
          <c:idx val="0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BD-406C-9565-DE91BC167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ax val="0.57357643600000008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500"/>
                  <a:t>sin(a)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反射光の角度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と入射光の角度</a:t>
            </a:r>
            <a:r>
              <a:rPr lang="en-US" altLang="ja-JP" sz="2000"/>
              <a:t>b[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90.000361444331531</c:v>
                </c:pt>
                <c:pt idx="2">
                  <c:v>90.001445777326182</c:v>
                </c:pt>
                <c:pt idx="3">
                  <c:v>90.003252998983939</c:v>
                </c:pt>
                <c:pt idx="4">
                  <c:v>90.005783109304787</c:v>
                </c:pt>
                <c:pt idx="5">
                  <c:v>90.009036108288711</c:v>
                </c:pt>
                <c:pt idx="6">
                  <c:v>90.013011995935756</c:v>
                </c:pt>
                <c:pt idx="7">
                  <c:v>90.017710772245891</c:v>
                </c:pt>
                <c:pt idx="8">
                  <c:v>90.023132437219132</c:v>
                </c:pt>
                <c:pt idx="9">
                  <c:v>90.02927699085545</c:v>
                </c:pt>
                <c:pt idx="10">
                  <c:v>90.036144433154874</c:v>
                </c:pt>
                <c:pt idx="11">
                  <c:v>90.043734764117403</c:v>
                </c:pt>
                <c:pt idx="12">
                  <c:v>90.052047983743037</c:v>
                </c:pt>
                <c:pt idx="13">
                  <c:v>90.061084092031749</c:v>
                </c:pt>
                <c:pt idx="14">
                  <c:v>90.070843088983565</c:v>
                </c:pt>
                <c:pt idx="15">
                  <c:v>90.081324974598488</c:v>
                </c:pt>
                <c:pt idx="16">
                  <c:v>90.092529748876515</c:v>
                </c:pt>
                <c:pt idx="17">
                  <c:v>90.104457411817606</c:v>
                </c:pt>
                <c:pt idx="18">
                  <c:v>90.117107963421816</c:v>
                </c:pt>
                <c:pt idx="19">
                  <c:v>90.130481403689146</c:v>
                </c:pt>
                <c:pt idx="20">
                  <c:v>90.144577732619553</c:v>
                </c:pt>
                <c:pt idx="21">
                  <c:v>90.159396950213051</c:v>
                </c:pt>
                <c:pt idx="22">
                  <c:v>90.174939056469654</c:v>
                </c:pt>
                <c:pt idx="23">
                  <c:v>90.191204051389349</c:v>
                </c:pt>
                <c:pt idx="24">
                  <c:v>90.208191934972135</c:v>
                </c:pt>
                <c:pt idx="25">
                  <c:v>90.225902707218026</c:v>
                </c:pt>
                <c:pt idx="26">
                  <c:v>90.244336368127023</c:v>
                </c:pt>
                <c:pt idx="27">
                  <c:v>90.263492917699125</c:v>
                </c:pt>
                <c:pt idx="28">
                  <c:v>90.28337235593429</c:v>
                </c:pt>
                <c:pt idx="29">
                  <c:v>90.303974682832589</c:v>
                </c:pt>
                <c:pt idx="30">
                  <c:v>90.325299898393979</c:v>
                </c:pt>
                <c:pt idx="31">
                  <c:v>90.347348002618475</c:v>
                </c:pt>
                <c:pt idx="32">
                  <c:v>90.370118995506033</c:v>
                </c:pt>
                <c:pt idx="33">
                  <c:v>90.393612877056711</c:v>
                </c:pt>
                <c:pt idx="34">
                  <c:v>90.417829647270494</c:v>
                </c:pt>
                <c:pt idx="35">
                  <c:v>90.442769306147369</c:v>
                </c:pt>
                <c:pt idx="36">
                  <c:v>90.468431853687321</c:v>
                </c:pt>
                <c:pt idx="37">
                  <c:v>90.494817289890392</c:v>
                </c:pt>
                <c:pt idx="38">
                  <c:v>90.521925614756569</c:v>
                </c:pt>
                <c:pt idx="39">
                  <c:v>90.549756828285808</c:v>
                </c:pt>
                <c:pt idx="40">
                  <c:v>90.578310930478182</c:v>
                </c:pt>
                <c:pt idx="41">
                  <c:v>90.607587921333646</c:v>
                </c:pt>
                <c:pt idx="42">
                  <c:v>90.637587800852216</c:v>
                </c:pt>
                <c:pt idx="43">
                  <c:v>90.668310569033864</c:v>
                </c:pt>
                <c:pt idx="44">
                  <c:v>90.699756225878602</c:v>
                </c:pt>
                <c:pt idx="45">
                  <c:v>90.73192477138646</c:v>
                </c:pt>
                <c:pt idx="46">
                  <c:v>90.764816205557409</c:v>
                </c:pt>
                <c:pt idx="47">
                  <c:v>90.798430528391449</c:v>
                </c:pt>
                <c:pt idx="48">
                  <c:v>90.832767739888581</c:v>
                </c:pt>
                <c:pt idx="49">
                  <c:v>90.867827840048832</c:v>
                </c:pt>
                <c:pt idx="50">
                  <c:v>90.903610828872175</c:v>
                </c:pt>
                <c:pt idx="51">
                  <c:v>90.940116706358594</c:v>
                </c:pt>
                <c:pt idx="52">
                  <c:v>90.977345472508134</c:v>
                </c:pt>
                <c:pt idx="53">
                  <c:v>91.015297127320764</c:v>
                </c:pt>
                <c:pt idx="54">
                  <c:v>91.053971670796514</c:v>
                </c:pt>
                <c:pt idx="55">
                  <c:v>91.093369102935313</c:v>
                </c:pt>
                <c:pt idx="56">
                  <c:v>91.133489423737245</c:v>
                </c:pt>
                <c:pt idx="57">
                  <c:v>91.174332633202269</c:v>
                </c:pt>
                <c:pt idx="58">
                  <c:v>91.215898731330398</c:v>
                </c:pt>
                <c:pt idx="59">
                  <c:v>91.258187718121604</c:v>
                </c:pt>
                <c:pt idx="60">
                  <c:v>91.301199593575916</c:v>
                </c:pt>
                <c:pt idx="61">
                  <c:v>91.344934357693347</c:v>
                </c:pt>
                <c:pt idx="62">
                  <c:v>91.389392010473841</c:v>
                </c:pt>
                <c:pt idx="63">
                  <c:v>91.434572551917455</c:v>
                </c:pt>
                <c:pt idx="64">
                  <c:v>91.480475982024174</c:v>
                </c:pt>
                <c:pt idx="65">
                  <c:v>91.527102300793985</c:v>
                </c:pt>
                <c:pt idx="66">
                  <c:v>91.574451508226858</c:v>
                </c:pt>
                <c:pt idx="67">
                  <c:v>91.622523604322865</c:v>
                </c:pt>
                <c:pt idx="68">
                  <c:v>91.671318589081977</c:v>
                </c:pt>
                <c:pt idx="69">
                  <c:v>91.720836462504181</c:v>
                </c:pt>
                <c:pt idx="70">
                  <c:v>91.771077224589447</c:v>
                </c:pt>
                <c:pt idx="71">
                  <c:v>91.822040875337834</c:v>
                </c:pt>
                <c:pt idx="72">
                  <c:v>91.873727414749339</c:v>
                </c:pt>
                <c:pt idx="73">
                  <c:v>91.926136842823922</c:v>
                </c:pt>
                <c:pt idx="74">
                  <c:v>91.979269159561596</c:v>
                </c:pt>
                <c:pt idx="75">
                  <c:v>92.03312436496239</c:v>
                </c:pt>
                <c:pt idx="76">
                  <c:v>92.087702459026275</c:v>
                </c:pt>
                <c:pt idx="77">
                  <c:v>92.143003441753251</c:v>
                </c:pt>
                <c:pt idx="78">
                  <c:v>92.199027313143318</c:v>
                </c:pt>
                <c:pt idx="79">
                  <c:v>92.255774073196491</c:v>
                </c:pt>
                <c:pt idx="80">
                  <c:v>92.31324372191277</c:v>
                </c:pt>
                <c:pt idx="81">
                  <c:v>92.371436259292125</c:v>
                </c:pt>
                <c:pt idx="82">
                  <c:v>92.430351685334585</c:v>
                </c:pt>
                <c:pt idx="83">
                  <c:v>92.489990000040137</c:v>
                </c:pt>
                <c:pt idx="84">
                  <c:v>92.550351203408837</c:v>
                </c:pt>
                <c:pt idx="85">
                  <c:v>92.611435295440572</c:v>
                </c:pt>
                <c:pt idx="86">
                  <c:v>92.673242276135426</c:v>
                </c:pt>
                <c:pt idx="87">
                  <c:v>92.735772145493399</c:v>
                </c:pt>
                <c:pt idx="88">
                  <c:v>92.79902490351445</c:v>
                </c:pt>
                <c:pt idx="89">
                  <c:v>92.863000550198578</c:v>
                </c:pt>
                <c:pt idx="90">
                  <c:v>92.927699085545839</c:v>
                </c:pt>
                <c:pt idx="91">
                  <c:v>92.993120509556178</c:v>
                </c:pt>
                <c:pt idx="92">
                  <c:v>93.059264822229636</c:v>
                </c:pt>
                <c:pt idx="93">
                  <c:v>93.126132023566157</c:v>
                </c:pt>
                <c:pt idx="94">
                  <c:v>93.193722113565798</c:v>
                </c:pt>
                <c:pt idx="95">
                  <c:v>93.262035092228544</c:v>
                </c:pt>
                <c:pt idx="96">
                  <c:v>93.331070959554381</c:v>
                </c:pt>
                <c:pt idx="97">
                  <c:v>93.400829715543296</c:v>
                </c:pt>
                <c:pt idx="98">
                  <c:v>93.47131136019533</c:v>
                </c:pt>
                <c:pt idx="99">
                  <c:v>93.542515893510455</c:v>
                </c:pt>
                <c:pt idx="100">
                  <c:v>93.6144433154887</c:v>
                </c:pt>
                <c:pt idx="101">
                  <c:v>93.687093626130007</c:v>
                </c:pt>
                <c:pt idx="102">
                  <c:v>93.760466825434435</c:v>
                </c:pt>
                <c:pt idx="103">
                  <c:v>93.834562913401953</c:v>
                </c:pt>
                <c:pt idx="104">
                  <c:v>93.909381890032563</c:v>
                </c:pt>
                <c:pt idx="105">
                  <c:v>93.984923755326264</c:v>
                </c:pt>
                <c:pt idx="106">
                  <c:v>94.061188509283085</c:v>
                </c:pt>
                <c:pt idx="107">
                  <c:v>94.138176151903011</c:v>
                </c:pt>
                <c:pt idx="108">
                  <c:v>94.215886683186</c:v>
                </c:pt>
                <c:pt idx="109">
                  <c:v>94.294320103132094</c:v>
                </c:pt>
                <c:pt idx="110">
                  <c:v>94.373476411741308</c:v>
                </c:pt>
                <c:pt idx="111">
                  <c:v>94.453355609013627</c:v>
                </c:pt>
                <c:pt idx="112">
                  <c:v>94.533957694948995</c:v>
                </c:pt>
                <c:pt idx="113">
                  <c:v>94.615282669547497</c:v>
                </c:pt>
                <c:pt idx="114">
                  <c:v>94.697330532809104</c:v>
                </c:pt>
                <c:pt idx="115">
                  <c:v>94.780101284733803</c:v>
                </c:pt>
                <c:pt idx="116">
                  <c:v>94.863594925321564</c:v>
                </c:pt>
                <c:pt idx="117">
                  <c:v>94.947811454572459</c:v>
                </c:pt>
                <c:pt idx="118">
                  <c:v>95.032750872486446</c:v>
                </c:pt>
                <c:pt idx="119">
                  <c:v>95.118413179063538</c:v>
                </c:pt>
                <c:pt idx="120">
                  <c:v>95.204798374303707</c:v>
                </c:pt>
                <c:pt idx="121">
                  <c:v>95.291906458206995</c:v>
                </c:pt>
                <c:pt idx="122">
                  <c:v>95.379737430773361</c:v>
                </c:pt>
                <c:pt idx="123">
                  <c:v>95.468291292002846</c:v>
                </c:pt>
                <c:pt idx="124">
                  <c:v>95.557568041895408</c:v>
                </c:pt>
                <c:pt idx="125">
                  <c:v>95.64756768045109</c:v>
                </c:pt>
                <c:pt idx="126">
                  <c:v>95.738290207669849</c:v>
                </c:pt>
                <c:pt idx="127">
                  <c:v>95.829735623551699</c:v>
                </c:pt>
                <c:pt idx="128">
                  <c:v>95.921903928096668</c:v>
                </c:pt>
                <c:pt idx="129">
                  <c:v>96.014795121304729</c:v>
                </c:pt>
                <c:pt idx="130">
                  <c:v>96.108409203175896</c:v>
                </c:pt>
                <c:pt idx="131">
                  <c:v>96.202746173710125</c:v>
                </c:pt>
                <c:pt idx="132">
                  <c:v>96.297806032907488</c:v>
                </c:pt>
                <c:pt idx="133">
                  <c:v>96.393588780767942</c:v>
                </c:pt>
                <c:pt idx="134">
                  <c:v>96.490094417291516</c:v>
                </c:pt>
                <c:pt idx="135">
                  <c:v>96.587322942478124</c:v>
                </c:pt>
                <c:pt idx="136">
                  <c:v>96.685274356327881</c:v>
                </c:pt>
                <c:pt idx="137">
                  <c:v>96.783948658840728</c:v>
                </c:pt>
                <c:pt idx="138">
                  <c:v>96.883345850016667</c:v>
                </c:pt>
                <c:pt idx="139">
                  <c:v>96.983465929855697</c:v>
                </c:pt>
                <c:pt idx="140">
                  <c:v>97.084308898357818</c:v>
                </c:pt>
                <c:pt idx="141">
                  <c:v>97.185874755523074</c:v>
                </c:pt>
                <c:pt idx="142">
                  <c:v>97.288163501351391</c:v>
                </c:pt>
                <c:pt idx="143">
                  <c:v>97.391175135842815</c:v>
                </c:pt>
                <c:pt idx="144">
                  <c:v>97.494909658997358</c:v>
                </c:pt>
                <c:pt idx="145">
                  <c:v>97.599367070814978</c:v>
                </c:pt>
                <c:pt idx="146">
                  <c:v>97.704547371295689</c:v>
                </c:pt>
                <c:pt idx="147">
                  <c:v>97.810450560439506</c:v>
                </c:pt>
                <c:pt idx="148">
                  <c:v>97.917076638246428</c:v>
                </c:pt>
                <c:pt idx="149">
                  <c:v>98.024425604716441</c:v>
                </c:pt>
                <c:pt idx="150">
                  <c:v>98.13249745984956</c:v>
                </c:pt>
                <c:pt idx="151">
                  <c:v>98.241292203645756</c:v>
                </c:pt>
                <c:pt idx="152">
                  <c:v>98.350809836105071</c:v>
                </c:pt>
                <c:pt idx="153">
                  <c:v>98.461050357227464</c:v>
                </c:pt>
                <c:pt idx="154">
                  <c:v>98.572013767012976</c:v>
                </c:pt>
                <c:pt idx="155">
                  <c:v>98.683700065461565</c:v>
                </c:pt>
                <c:pt idx="156">
                  <c:v>98.796109252573288</c:v>
                </c:pt>
                <c:pt idx="157">
                  <c:v>98.909241328348088</c:v>
                </c:pt>
                <c:pt idx="158">
                  <c:v>99.023096292785965</c:v>
                </c:pt>
                <c:pt idx="159">
                  <c:v>99.137674145886962</c:v>
                </c:pt>
                <c:pt idx="160">
                  <c:v>99.25297488765105</c:v>
                </c:pt>
                <c:pt idx="161">
                  <c:v>99.368998518078229</c:v>
                </c:pt>
                <c:pt idx="162">
                  <c:v>99.485745037168527</c:v>
                </c:pt>
                <c:pt idx="163">
                  <c:v>99.603214444921917</c:v>
                </c:pt>
                <c:pt idx="164">
                  <c:v>99.721406741338399</c:v>
                </c:pt>
                <c:pt idx="165">
                  <c:v>99.840321926417957</c:v>
                </c:pt>
                <c:pt idx="166">
                  <c:v>99.959960000160635</c:v>
                </c:pt>
                <c:pt idx="167">
                  <c:v>100.08032096256642</c:v>
                </c:pt>
                <c:pt idx="168">
                  <c:v>100.20140481363529</c:v>
                </c:pt>
                <c:pt idx="169">
                  <c:v>100.32321155336726</c:v>
                </c:pt>
                <c:pt idx="170">
                  <c:v>100.44574118176232</c:v>
                </c:pt>
                <c:pt idx="171">
                  <c:v>100.56899369882049</c:v>
                </c:pt>
                <c:pt idx="172">
                  <c:v>100.69296910454173</c:v>
                </c:pt>
                <c:pt idx="173">
                  <c:v>100.81766739892612</c:v>
                </c:pt>
                <c:pt idx="174">
                  <c:v>100.94308858197356</c:v>
                </c:pt>
                <c:pt idx="175">
                  <c:v>101.06923265368411</c:v>
                </c:pt>
                <c:pt idx="176">
                  <c:v>101.19609961405777</c:v>
                </c:pt>
                <c:pt idx="177">
                  <c:v>101.32368946309452</c:v>
                </c:pt>
                <c:pt idx="178">
                  <c:v>101.45200220079437</c:v>
                </c:pt>
                <c:pt idx="179">
                  <c:v>101.58103782715733</c:v>
                </c:pt>
                <c:pt idx="180">
                  <c:v>101.71079634218336</c:v>
                </c:pt>
                <c:pt idx="181">
                  <c:v>101.8412777458725</c:v>
                </c:pt>
                <c:pt idx="182">
                  <c:v>101.97248203822474</c:v>
                </c:pt>
                <c:pt idx="183">
                  <c:v>102.10440921924008</c:v>
                </c:pt>
                <c:pt idx="184">
                  <c:v>102.23705928891852</c:v>
                </c:pt>
                <c:pt idx="185">
                  <c:v>102.37043224726006</c:v>
                </c:pt>
                <c:pt idx="186">
                  <c:v>102.50452809426469</c:v>
                </c:pt>
                <c:pt idx="187">
                  <c:v>102.63934682993241</c:v>
                </c:pt>
                <c:pt idx="188">
                  <c:v>102.77488845426322</c:v>
                </c:pt>
                <c:pt idx="189">
                  <c:v>102.91115296725715</c:v>
                </c:pt>
                <c:pt idx="190">
                  <c:v>103.04814036891418</c:v>
                </c:pt>
                <c:pt idx="191">
                  <c:v>103.18585065923429</c:v>
                </c:pt>
                <c:pt idx="192">
                  <c:v>103.32428383821753</c:v>
                </c:pt>
                <c:pt idx="193">
                  <c:v>103.46343990586382</c:v>
                </c:pt>
                <c:pt idx="194">
                  <c:v>103.60331886217324</c:v>
                </c:pt>
                <c:pt idx="195">
                  <c:v>103.74392070714575</c:v>
                </c:pt>
                <c:pt idx="196">
                  <c:v>103.88524544078138</c:v>
                </c:pt>
                <c:pt idx="197">
                  <c:v>104.02729306308007</c:v>
                </c:pt>
                <c:pt idx="198">
                  <c:v>104.17006357404186</c:v>
                </c:pt>
                <c:pt idx="199">
                  <c:v>104.31355697366678</c:v>
                </c:pt>
                <c:pt idx="200">
                  <c:v>104.45777326195477</c:v>
                </c:pt>
                <c:pt idx="201">
                  <c:v>104.60271243890585</c:v>
                </c:pt>
                <c:pt idx="202">
                  <c:v>104.74837450452006</c:v>
                </c:pt>
                <c:pt idx="203">
                  <c:v>104.89475945879735</c:v>
                </c:pt>
                <c:pt idx="204">
                  <c:v>105.04186730173774</c:v>
                </c:pt>
                <c:pt idx="205">
                  <c:v>105.18969803334123</c:v>
                </c:pt>
                <c:pt idx="206">
                  <c:v>105.33825165360781</c:v>
                </c:pt>
                <c:pt idx="207">
                  <c:v>105.4875281625375</c:v>
                </c:pt>
                <c:pt idx="208">
                  <c:v>105.63752756013028</c:v>
                </c:pt>
                <c:pt idx="209">
                  <c:v>105.78824984638617</c:v>
                </c:pt>
                <c:pt idx="210">
                  <c:v>105.93969502130513</c:v>
                </c:pt>
                <c:pt idx="211">
                  <c:v>106.09186308488719</c:v>
                </c:pt>
                <c:pt idx="212">
                  <c:v>106.24475403713237</c:v>
                </c:pt>
                <c:pt idx="213">
                  <c:v>106.39836787804066</c:v>
                </c:pt>
                <c:pt idx="214">
                  <c:v>106.55270460761201</c:v>
                </c:pt>
                <c:pt idx="215">
                  <c:v>106.70776422584649</c:v>
                </c:pt>
                <c:pt idx="216">
                  <c:v>106.86354673274404</c:v>
                </c:pt>
                <c:pt idx="217">
                  <c:v>107.02005212830471</c:v>
                </c:pt>
                <c:pt idx="218">
                  <c:v>107.17728041252846</c:v>
                </c:pt>
                <c:pt idx="219">
                  <c:v>107.33523158541533</c:v>
                </c:pt>
                <c:pt idx="220">
                  <c:v>107.49390564696526</c:v>
                </c:pt>
                <c:pt idx="221">
                  <c:v>107.65330259717832</c:v>
                </c:pt>
                <c:pt idx="222">
                  <c:v>107.81342243605448</c:v>
                </c:pt>
                <c:pt idx="223">
                  <c:v>107.97426516359373</c:v>
                </c:pt>
                <c:pt idx="224">
                  <c:v>108.13583077979607</c:v>
                </c:pt>
                <c:pt idx="225">
                  <c:v>108.29811928466151</c:v>
                </c:pt>
                <c:pt idx="226">
                  <c:v>108.46113067819005</c:v>
                </c:pt>
                <c:pt idx="227">
                  <c:v>108.62486496038167</c:v>
                </c:pt>
                <c:pt idx="228">
                  <c:v>108.78932213123642</c:v>
                </c:pt>
                <c:pt idx="229">
                  <c:v>108.95450219075424</c:v>
                </c:pt>
                <c:pt idx="230">
                  <c:v>109.12040513893518</c:v>
                </c:pt>
                <c:pt idx="231">
                  <c:v>109.2870309757792</c:v>
                </c:pt>
                <c:pt idx="232">
                  <c:v>109.45437970128634</c:v>
                </c:pt>
                <c:pt idx="233">
                  <c:v>109.62245131545656</c:v>
                </c:pt>
                <c:pt idx="234">
                  <c:v>109.79124581828988</c:v>
                </c:pt>
                <c:pt idx="235">
                  <c:v>109.96076320978629</c:v>
                </c:pt>
                <c:pt idx="236">
                  <c:v>110.13100348994583</c:v>
                </c:pt>
                <c:pt idx="237">
                  <c:v>110.30196665876844</c:v>
                </c:pt>
                <c:pt idx="238">
                  <c:v>110.47365271625415</c:v>
                </c:pt>
                <c:pt idx="239">
                  <c:v>110.64606166240296</c:v>
                </c:pt>
                <c:pt idx="240">
                  <c:v>110.81919349721487</c:v>
                </c:pt>
                <c:pt idx="241">
                  <c:v>110.99304822068987</c:v>
                </c:pt>
                <c:pt idx="242">
                  <c:v>111.16762583282798</c:v>
                </c:pt>
                <c:pt idx="243">
                  <c:v>111.34292633362918</c:v>
                </c:pt>
                <c:pt idx="244">
                  <c:v>111.51894972309348</c:v>
                </c:pt>
                <c:pt idx="245">
                  <c:v>111.69569600122088</c:v>
                </c:pt>
                <c:pt idx="246">
                  <c:v>111.87316516801138</c:v>
                </c:pt>
                <c:pt idx="247">
                  <c:v>112.05135722346496</c:v>
                </c:pt>
                <c:pt idx="248">
                  <c:v>112.23027216758166</c:v>
                </c:pt>
                <c:pt idx="249">
                  <c:v>112.40991000036144</c:v>
                </c:pt>
                <c:pt idx="250">
                  <c:v>112.59027072180433</c:v>
                </c:pt>
                <c:pt idx="251">
                  <c:v>112.77135433191032</c:v>
                </c:pt>
                <c:pt idx="252">
                  <c:v>112.95316083067939</c:v>
                </c:pt>
                <c:pt idx="253">
                  <c:v>113.13569021811156</c:v>
                </c:pt>
                <c:pt idx="254">
                  <c:v>113.31894249420685</c:v>
                </c:pt>
                <c:pt idx="255">
                  <c:v>113.50291765896523</c:v>
                </c:pt>
                <c:pt idx="256">
                  <c:v>113.68761571238669</c:v>
                </c:pt>
                <c:pt idx="257">
                  <c:v>113.87303665447126</c:v>
                </c:pt>
                <c:pt idx="258">
                  <c:v>114.05918048521892</c:v>
                </c:pt>
                <c:pt idx="259">
                  <c:v>114.2460472046297</c:v>
                </c:pt>
                <c:pt idx="260">
                  <c:v>114.43363681270355</c:v>
                </c:pt>
                <c:pt idx="261">
                  <c:v>114.62194930944052</c:v>
                </c:pt>
                <c:pt idx="262">
                  <c:v>114.81098469484057</c:v>
                </c:pt>
                <c:pt idx="263">
                  <c:v>115.00074296890375</c:v>
                </c:pt>
                <c:pt idx="264">
                  <c:v>115.19122413162999</c:v>
                </c:pt>
                <c:pt idx="265">
                  <c:v>115.38242818301936</c:v>
                </c:pt>
                <c:pt idx="266">
                  <c:v>115.5743551230718</c:v>
                </c:pt>
                <c:pt idx="267">
                  <c:v>115.76700495178734</c:v>
                </c:pt>
                <c:pt idx="268">
                  <c:v>115.96037766916599</c:v>
                </c:pt>
                <c:pt idx="269">
                  <c:v>116.15447327520772</c:v>
                </c:pt>
                <c:pt idx="270">
                  <c:v>116.34929176991257</c:v>
                </c:pt>
                <c:pt idx="271">
                  <c:v>116.54483315328051</c:v>
                </c:pt>
                <c:pt idx="272">
                  <c:v>116.74109742531155</c:v>
                </c:pt>
                <c:pt idx="273">
                  <c:v>116.93808458600567</c:v>
                </c:pt>
                <c:pt idx="274">
                  <c:v>117.13579463536291</c:v>
                </c:pt>
                <c:pt idx="275">
                  <c:v>117.33422757338323</c:v>
                </c:pt>
                <c:pt idx="276">
                  <c:v>117.53338340006667</c:v>
                </c:pt>
                <c:pt idx="277">
                  <c:v>117.73326211541318</c:v>
                </c:pt>
                <c:pt idx="278">
                  <c:v>117.93386371942282</c:v>
                </c:pt>
                <c:pt idx="279">
                  <c:v>118.13518821209553</c:v>
                </c:pt>
                <c:pt idx="280">
                  <c:v>118.33723559343136</c:v>
                </c:pt>
                <c:pt idx="281">
                  <c:v>118.54000586343025</c:v>
                </c:pt>
                <c:pt idx="282">
                  <c:v>118.74349902209229</c:v>
                </c:pt>
                <c:pt idx="283">
                  <c:v>118.94771506941738</c:v>
                </c:pt>
                <c:pt idx="284">
                  <c:v>119.15265400540561</c:v>
                </c:pt>
                <c:pt idx="285">
                  <c:v>119.3583158300569</c:v>
                </c:pt>
                <c:pt idx="286">
                  <c:v>119.56470054337132</c:v>
                </c:pt>
                <c:pt idx="287">
                  <c:v>119.77180814534881</c:v>
                </c:pt>
                <c:pt idx="288">
                  <c:v>119.97963863598942</c:v>
                </c:pt>
                <c:pt idx="289">
                  <c:v>120.18819201529311</c:v>
                </c:pt>
                <c:pt idx="290">
                  <c:v>120.39746828325991</c:v>
                </c:pt>
                <c:pt idx="291">
                  <c:v>120.60746743988979</c:v>
                </c:pt>
                <c:pt idx="292">
                  <c:v>120.81818948518278</c:v>
                </c:pt>
                <c:pt idx="293">
                  <c:v>121.02963441913889</c:v>
                </c:pt>
                <c:pt idx="294">
                  <c:v>121.24180224175805</c:v>
                </c:pt>
                <c:pt idx="295">
                  <c:v>121.45469295304035</c:v>
                </c:pt>
                <c:pt idx="296">
                  <c:v>121.66830655298574</c:v>
                </c:pt>
                <c:pt idx="297">
                  <c:v>121.88264304159421</c:v>
                </c:pt>
                <c:pt idx="298">
                  <c:v>122.09770241886579</c:v>
                </c:pt>
                <c:pt idx="299">
                  <c:v>122.31348468480046</c:v>
                </c:pt>
                <c:pt idx="300">
                  <c:v>122.52998983939824</c:v>
                </c:pt>
                <c:pt idx="301">
                  <c:v>122.7472178826591</c:v>
                </c:pt>
                <c:pt idx="302">
                  <c:v>122.96516881458307</c:v>
                </c:pt>
                <c:pt idx="303">
                  <c:v>123.18384263517015</c:v>
                </c:pt>
                <c:pt idx="304">
                  <c:v>123.40323934442029</c:v>
                </c:pt>
                <c:pt idx="305">
                  <c:v>123.62335894233357</c:v>
                </c:pt>
                <c:pt idx="306">
                  <c:v>123.84420142890991</c:v>
                </c:pt>
                <c:pt idx="307">
                  <c:v>124.06576680414938</c:v>
                </c:pt>
                <c:pt idx="308">
                  <c:v>124.28805506805193</c:v>
                </c:pt>
                <c:pt idx="309">
                  <c:v>124.51106622061758</c:v>
                </c:pt>
                <c:pt idx="310">
                  <c:v>124.73480026184635</c:v>
                </c:pt>
                <c:pt idx="311">
                  <c:v>124.95925719173819</c:v>
                </c:pt>
                <c:pt idx="312">
                  <c:v>125.18443701029312</c:v>
                </c:pt>
                <c:pt idx="313">
                  <c:v>125.41033971751116</c:v>
                </c:pt>
                <c:pt idx="314">
                  <c:v>125.63696531339231</c:v>
                </c:pt>
                <c:pt idx="315">
                  <c:v>125.86431379793655</c:v>
                </c:pt>
                <c:pt idx="316">
                  <c:v>126.0923851711439</c:v>
                </c:pt>
                <c:pt idx="317">
                  <c:v>126.32117943301432</c:v>
                </c:pt>
                <c:pt idx="318">
                  <c:v>126.55069658354786</c:v>
                </c:pt>
                <c:pt idx="319">
                  <c:v>126.78093662274446</c:v>
                </c:pt>
                <c:pt idx="320">
                  <c:v>127.01189955060421</c:v>
                </c:pt>
                <c:pt idx="321">
                  <c:v>127.24358536712704</c:v>
                </c:pt>
                <c:pt idx="322">
                  <c:v>127.47599407231296</c:v>
                </c:pt>
                <c:pt idx="323">
                  <c:v>127.70912566616198</c:v>
                </c:pt>
                <c:pt idx="324">
                  <c:v>127.9429801486741</c:v>
                </c:pt>
                <c:pt idx="325">
                  <c:v>128.1775575198493</c:v>
                </c:pt>
                <c:pt idx="326">
                  <c:v>128.41285777968764</c:v>
                </c:pt>
                <c:pt idx="327">
                  <c:v>128.64888092818904</c:v>
                </c:pt>
                <c:pt idx="328">
                  <c:v>128.88562696535354</c:v>
                </c:pt>
                <c:pt idx="329">
                  <c:v>129.12309589118115</c:v>
                </c:pt>
                <c:pt idx="330">
                  <c:v>129.36128770567186</c:v>
                </c:pt>
                <c:pt idx="331">
                  <c:v>129.60020240882568</c:v>
                </c:pt>
                <c:pt idx="332">
                  <c:v>129.83984000064257</c:v>
                </c:pt>
                <c:pt idx="333">
                  <c:v>130.08020048112257</c:v>
                </c:pt>
                <c:pt idx="334">
                  <c:v>130.32128385026567</c:v>
                </c:pt>
                <c:pt idx="335">
                  <c:v>130.56309010807186</c:v>
                </c:pt>
                <c:pt idx="336">
                  <c:v>130.80561925454117</c:v>
                </c:pt>
                <c:pt idx="337">
                  <c:v>131.04887128967351</c:v>
                </c:pt>
                <c:pt idx="338">
                  <c:v>131.29284621346903</c:v>
                </c:pt>
                <c:pt idx="339">
                  <c:v>131.53754402592762</c:v>
                </c:pt>
                <c:pt idx="340">
                  <c:v>131.78296472704929</c:v>
                </c:pt>
                <c:pt idx="341">
                  <c:v>132.02910831683408</c:v>
                </c:pt>
                <c:pt idx="342">
                  <c:v>132.27597479528194</c:v>
                </c:pt>
                <c:pt idx="343">
                  <c:v>132.52356416239292</c:v>
                </c:pt>
                <c:pt idx="344">
                  <c:v>132.77187641816698</c:v>
                </c:pt>
                <c:pt idx="345">
                  <c:v>133.02091156260417</c:v>
                </c:pt>
                <c:pt idx="346">
                  <c:v>133.27066959570442</c:v>
                </c:pt>
                <c:pt idx="347">
                  <c:v>133.52115051746779</c:v>
                </c:pt>
                <c:pt idx="348">
                  <c:v>133.77235432789428</c:v>
                </c:pt>
                <c:pt idx="349">
                  <c:v>134.02428102698383</c:v>
                </c:pt>
                <c:pt idx="350">
                  <c:v>134.27693061473647</c:v>
                </c:pt>
                <c:pt idx="351">
                  <c:v>134.53030309115223</c:v>
                </c:pt>
                <c:pt idx="352">
                  <c:v>134.78439845623109</c:v>
                </c:pt>
                <c:pt idx="353">
                  <c:v>135.03921670997306</c:v>
                </c:pt>
                <c:pt idx="354">
                  <c:v>135.2947578523781</c:v>
                </c:pt>
                <c:pt idx="355">
                  <c:v>135.55102188344625</c:v>
                </c:pt>
                <c:pt idx="356">
                  <c:v>135.8080088031775</c:v>
                </c:pt>
                <c:pt idx="357">
                  <c:v>136.06571861157184</c:v>
                </c:pt>
                <c:pt idx="358">
                  <c:v>136.32415130862927</c:v>
                </c:pt>
                <c:pt idx="359">
                  <c:v>136.58330689434985</c:v>
                </c:pt>
                <c:pt idx="360">
                  <c:v>136.84318536873346</c:v>
                </c:pt>
                <c:pt idx="361">
                  <c:v>137.10378673178019</c:v>
                </c:pt>
                <c:pt idx="362">
                  <c:v>137.36511098349001</c:v>
                </c:pt>
                <c:pt idx="363">
                  <c:v>137.62715812386296</c:v>
                </c:pt>
                <c:pt idx="364">
                  <c:v>137.88992815289899</c:v>
                </c:pt>
                <c:pt idx="365">
                  <c:v>138.15342107059811</c:v>
                </c:pt>
                <c:pt idx="366">
                  <c:v>138.41763687696033</c:v>
                </c:pt>
                <c:pt idx="367">
                  <c:v>138.68257557198567</c:v>
                </c:pt>
                <c:pt idx="368">
                  <c:v>138.94823715567406</c:v>
                </c:pt>
                <c:pt idx="369">
                  <c:v>139.21462162802558</c:v>
                </c:pt>
                <c:pt idx="370">
                  <c:v>139.48172898904019</c:v>
                </c:pt>
                <c:pt idx="371">
                  <c:v>139.74955923871792</c:v>
                </c:pt>
                <c:pt idx="372">
                  <c:v>140.01811237705874</c:v>
                </c:pt>
                <c:pt idx="373">
                  <c:v>140.28738840406263</c:v>
                </c:pt>
                <c:pt idx="374">
                  <c:v>140.55738731972963</c:v>
                </c:pt>
                <c:pt idx="375">
                  <c:v>140.82810912405975</c:v>
                </c:pt>
                <c:pt idx="376">
                  <c:v>141.09955381705294</c:v>
                </c:pt>
                <c:pt idx="377">
                  <c:v>141.37172139870924</c:v>
                </c:pt>
                <c:pt idx="378">
                  <c:v>141.64461186902864</c:v>
                </c:pt>
                <c:pt idx="379">
                  <c:v>141.91822522801112</c:v>
                </c:pt>
                <c:pt idx="380">
                  <c:v>142.19256147565673</c:v>
                </c:pt>
                <c:pt idx="381">
                  <c:v>142.4676206119654</c:v>
                </c:pt>
                <c:pt idx="382">
                  <c:v>142.74340263693722</c:v>
                </c:pt>
                <c:pt idx="383">
                  <c:v>143.01990755057207</c:v>
                </c:pt>
                <c:pt idx="384">
                  <c:v>143.29713535287007</c:v>
                </c:pt>
                <c:pt idx="385">
                  <c:v>143.57508604383116</c:v>
                </c:pt>
                <c:pt idx="386">
                  <c:v>143.85375962345532</c:v>
                </c:pt>
                <c:pt idx="387">
                  <c:v>144.13315609174259</c:v>
                </c:pt>
                <c:pt idx="388">
                  <c:v>144.41327544869296</c:v>
                </c:pt>
                <c:pt idx="389">
                  <c:v>144.69411769430644</c:v>
                </c:pt>
                <c:pt idx="390">
                  <c:v>144.97568282858302</c:v>
                </c:pt>
                <c:pt idx="391">
                  <c:v>145.25797085152269</c:v>
                </c:pt>
                <c:pt idx="392">
                  <c:v>145.54098176312544</c:v>
                </c:pt>
                <c:pt idx="393">
                  <c:v>145.82471556339129</c:v>
                </c:pt>
                <c:pt idx="394">
                  <c:v>146.10917225232026</c:v>
                </c:pt>
                <c:pt idx="395">
                  <c:v>146.39435182991235</c:v>
                </c:pt>
                <c:pt idx="396">
                  <c:v>146.68025429616748</c:v>
                </c:pt>
                <c:pt idx="397">
                  <c:v>146.96687965108575</c:v>
                </c:pt>
                <c:pt idx="398">
                  <c:v>147.25422789466711</c:v>
                </c:pt>
                <c:pt idx="399">
                  <c:v>147.54229902691154</c:v>
                </c:pt>
                <c:pt idx="400">
                  <c:v>147.83109304781908</c:v>
                </c:pt>
                <c:pt idx="401">
                  <c:v>148.12060995738972</c:v>
                </c:pt>
                <c:pt idx="402">
                  <c:v>148.41084975562347</c:v>
                </c:pt>
                <c:pt idx="403">
                  <c:v>148.70181244252032</c:v>
                </c:pt>
                <c:pt idx="404">
                  <c:v>148.99349801808023</c:v>
                </c:pt>
                <c:pt idx="405">
                  <c:v>149.28590648230329</c:v>
                </c:pt>
                <c:pt idx="406">
                  <c:v>149.57903783518941</c:v>
                </c:pt>
                <c:pt idx="407">
                  <c:v>149.87289207673865</c:v>
                </c:pt>
                <c:pt idx="408">
                  <c:v>150.16746920695098</c:v>
                </c:pt>
                <c:pt idx="409">
                  <c:v>150.46276922582641</c:v>
                </c:pt>
                <c:pt idx="410">
                  <c:v>150.75879213336492</c:v>
                </c:pt>
                <c:pt idx="411">
                  <c:v>151.05553792956653</c:v>
                </c:pt>
                <c:pt idx="412">
                  <c:v>151.35300661443125</c:v>
                </c:pt>
                <c:pt idx="413">
                  <c:v>151.6511981879591</c:v>
                </c:pt>
                <c:pt idx="414">
                  <c:v>151.95011265015</c:v>
                </c:pt>
                <c:pt idx="415">
                  <c:v>152.24975000100403</c:v>
                </c:pt>
                <c:pt idx="416">
                  <c:v>152.55011024052112</c:v>
                </c:pt>
                <c:pt idx="417">
                  <c:v>152.85119336870133</c:v>
                </c:pt>
                <c:pt idx="418">
                  <c:v>153.15299938554463</c:v>
                </c:pt>
                <c:pt idx="419">
                  <c:v>153.45552829105102</c:v>
                </c:pt>
                <c:pt idx="420">
                  <c:v>153.75878008522054</c:v>
                </c:pt>
                <c:pt idx="421">
                  <c:v>154.06275476805314</c:v>
                </c:pt>
                <c:pt idx="422">
                  <c:v>154.36745233954883</c:v>
                </c:pt>
                <c:pt idx="423">
                  <c:v>154.67287279970765</c:v>
                </c:pt>
                <c:pt idx="424">
                  <c:v>154.97901614852952</c:v>
                </c:pt>
                <c:pt idx="425">
                  <c:v>155.28588238601452</c:v>
                </c:pt>
                <c:pt idx="426">
                  <c:v>155.59347151216261</c:v>
                </c:pt>
                <c:pt idx="427">
                  <c:v>155.90178352697379</c:v>
                </c:pt>
                <c:pt idx="428">
                  <c:v>156.21081843044806</c:v>
                </c:pt>
                <c:pt idx="429">
                  <c:v>156.52057622258545</c:v>
                </c:pt>
                <c:pt idx="430">
                  <c:v>156.83105690338593</c:v>
                </c:pt>
                <c:pt idx="431">
                  <c:v>157.1422604728495</c:v>
                </c:pt>
                <c:pt idx="432">
                  <c:v>157.45418693097616</c:v>
                </c:pt>
                <c:pt idx="433">
                  <c:v>157.76683627776595</c:v>
                </c:pt>
                <c:pt idx="434">
                  <c:v>158.08020851321882</c:v>
                </c:pt>
                <c:pt idx="435">
                  <c:v>158.39430363733479</c:v>
                </c:pt>
                <c:pt idx="436">
                  <c:v>158.70912165011387</c:v>
                </c:pt>
                <c:pt idx="437">
                  <c:v>159.02466255155602</c:v>
                </c:pt>
                <c:pt idx="438">
                  <c:v>159.34092634166129</c:v>
                </c:pt>
                <c:pt idx="439">
                  <c:v>159.65791302042965</c:v>
                </c:pt>
                <c:pt idx="440">
                  <c:v>159.9756225878611</c:v>
                </c:pt>
                <c:pt idx="441">
                  <c:v>160.29405504395567</c:v>
                </c:pt>
                <c:pt idx="442">
                  <c:v>160.6132103887133</c:v>
                </c:pt>
                <c:pt idx="443">
                  <c:v>160.93308862213405</c:v>
                </c:pt>
                <c:pt idx="444">
                  <c:v>161.25368974421789</c:v>
                </c:pt>
                <c:pt idx="445">
                  <c:v>161.57501375496483</c:v>
                </c:pt>
                <c:pt idx="446">
                  <c:v>161.89706065437488</c:v>
                </c:pt>
                <c:pt idx="447">
                  <c:v>162.21983044244803</c:v>
                </c:pt>
                <c:pt idx="448">
                  <c:v>162.54332311918427</c:v>
                </c:pt>
                <c:pt idx="449">
                  <c:v>162.86753868458359</c:v>
                </c:pt>
                <c:pt idx="450">
                  <c:v>163.19247713864604</c:v>
                </c:pt>
                <c:pt idx="451">
                  <c:v>163.51813848137158</c:v>
                </c:pt>
                <c:pt idx="452">
                  <c:v>163.84452271276018</c:v>
                </c:pt>
                <c:pt idx="453">
                  <c:v>164.1716298328119</c:v>
                </c:pt>
                <c:pt idx="454">
                  <c:v>164.49945984152674</c:v>
                </c:pt>
                <c:pt idx="455">
                  <c:v>164.82801273890465</c:v>
                </c:pt>
                <c:pt idx="456">
                  <c:v>165.1572885249457</c:v>
                </c:pt>
                <c:pt idx="457">
                  <c:v>165.48728719964978</c:v>
                </c:pt>
                <c:pt idx="458">
                  <c:v>165.81800876301702</c:v>
                </c:pt>
                <c:pt idx="459">
                  <c:v>166.14945321504734</c:v>
                </c:pt>
                <c:pt idx="460">
                  <c:v>166.48162055574073</c:v>
                </c:pt>
                <c:pt idx="461">
                  <c:v>166.81451078509724</c:v>
                </c:pt>
                <c:pt idx="462">
                  <c:v>167.14812390311687</c:v>
                </c:pt>
                <c:pt idx="463">
                  <c:v>167.48245990979956</c:v>
                </c:pt>
                <c:pt idx="464">
                  <c:v>167.81751880514537</c:v>
                </c:pt>
                <c:pt idx="465">
                  <c:v>168.15330058915424</c:v>
                </c:pt>
                <c:pt idx="466">
                  <c:v>168.48980526182626</c:v>
                </c:pt>
                <c:pt idx="467">
                  <c:v>168.82703282316137</c:v>
                </c:pt>
                <c:pt idx="468">
                  <c:v>169.16498327315955</c:v>
                </c:pt>
                <c:pt idx="469">
                  <c:v>169.50365661182084</c:v>
                </c:pt>
                <c:pt idx="470">
                  <c:v>169.84305283914523</c:v>
                </c:pt>
                <c:pt idx="471">
                  <c:v>170.18317195513271</c:v>
                </c:pt>
                <c:pt idx="472">
                  <c:v>170.5240139597833</c:v>
                </c:pt>
                <c:pt idx="473">
                  <c:v>170.86557885309696</c:v>
                </c:pt>
                <c:pt idx="474">
                  <c:v>171.20786663507377</c:v>
                </c:pt>
                <c:pt idx="475">
                  <c:v>171.55087730571361</c:v>
                </c:pt>
                <c:pt idx="476">
                  <c:v>171.8946108650166</c:v>
                </c:pt>
                <c:pt idx="477">
                  <c:v>172.23906731298268</c:v>
                </c:pt>
                <c:pt idx="478">
                  <c:v>172.58424664961186</c:v>
                </c:pt>
                <c:pt idx="479">
                  <c:v>172.93014887490412</c:v>
                </c:pt>
                <c:pt idx="480">
                  <c:v>173.27677398885947</c:v>
                </c:pt>
                <c:pt idx="481">
                  <c:v>173.62412199147795</c:v>
                </c:pt>
                <c:pt idx="482">
                  <c:v>173.97219288275951</c:v>
                </c:pt>
                <c:pt idx="483">
                  <c:v>174.32098666270417</c:v>
                </c:pt>
                <c:pt idx="484">
                  <c:v>174.67050333131192</c:v>
                </c:pt>
                <c:pt idx="485">
                  <c:v>175.02074288858279</c:v>
                </c:pt>
                <c:pt idx="486">
                  <c:v>175.37170533451672</c:v>
                </c:pt>
                <c:pt idx="487">
                  <c:v>175.7233906691138</c:v>
                </c:pt>
                <c:pt idx="488">
                  <c:v>176.07579889237391</c:v>
                </c:pt>
                <c:pt idx="489">
                  <c:v>176.42893000429717</c:v>
                </c:pt>
                <c:pt idx="490">
                  <c:v>176.78278400488352</c:v>
                </c:pt>
                <c:pt idx="491">
                  <c:v>177.13736089413294</c:v>
                </c:pt>
                <c:pt idx="492">
                  <c:v>177.4926606720455</c:v>
                </c:pt>
                <c:pt idx="493">
                  <c:v>177.84868333862113</c:v>
                </c:pt>
                <c:pt idx="494">
                  <c:v>178.20542889385987</c:v>
                </c:pt>
                <c:pt idx="495">
                  <c:v>178.56289733776171</c:v>
                </c:pt>
                <c:pt idx="496">
                  <c:v>178.92108867032661</c:v>
                </c:pt>
                <c:pt idx="497">
                  <c:v>179.28000289155466</c:v>
                </c:pt>
                <c:pt idx="498">
                  <c:v>179.63964000144577</c:v>
                </c:pt>
                <c:pt idx="499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D-4BB9-8C90-5D9AC351CDCE}"/>
            </c:ext>
          </c:extLst>
        </c:ser>
        <c:ser>
          <c:idx val="3"/>
          <c:order val="1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D-4BB9-8C90-5D9AC351CDCE}"/>
            </c:ext>
          </c:extLst>
        </c:ser>
        <c:ser>
          <c:idx val="1"/>
          <c:order val="2"/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Main!$B$12:$B$511</c:f>
              <c:numCache>
                <c:formatCode>General</c:formatCode>
                <c:ptCount val="5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</c:numRef>
          </c:xVal>
          <c:yVal>
            <c:numRef>
              <c:f>Main!$D$12:$D$511</c:f>
              <c:numCache>
                <c:formatCode>General</c:formatCode>
                <c:ptCount val="500"/>
                <c:pt idx="0">
                  <c:v>90</c:v>
                </c:pt>
                <c:pt idx="1">
                  <c:v>90.000361444331531</c:v>
                </c:pt>
                <c:pt idx="2">
                  <c:v>90.001445777326182</c:v>
                </c:pt>
                <c:pt idx="3">
                  <c:v>90.003252998983939</c:v>
                </c:pt>
                <c:pt idx="4">
                  <c:v>90.005783109304787</c:v>
                </c:pt>
                <c:pt idx="5">
                  <c:v>90.009036108288711</c:v>
                </c:pt>
                <c:pt idx="6">
                  <c:v>90.013011995935756</c:v>
                </c:pt>
                <c:pt idx="7">
                  <c:v>90.017710772245891</c:v>
                </c:pt>
                <c:pt idx="8">
                  <c:v>90.023132437219132</c:v>
                </c:pt>
                <c:pt idx="9">
                  <c:v>90.02927699085545</c:v>
                </c:pt>
                <c:pt idx="10">
                  <c:v>90.036144433154874</c:v>
                </c:pt>
                <c:pt idx="11">
                  <c:v>90.043734764117403</c:v>
                </c:pt>
                <c:pt idx="12">
                  <c:v>90.052047983743037</c:v>
                </c:pt>
                <c:pt idx="13">
                  <c:v>90.061084092031749</c:v>
                </c:pt>
                <c:pt idx="14">
                  <c:v>90.070843088983565</c:v>
                </c:pt>
                <c:pt idx="15">
                  <c:v>90.081324974598488</c:v>
                </c:pt>
                <c:pt idx="16">
                  <c:v>90.092529748876515</c:v>
                </c:pt>
                <c:pt idx="17">
                  <c:v>90.104457411817606</c:v>
                </c:pt>
                <c:pt idx="18">
                  <c:v>90.117107963421816</c:v>
                </c:pt>
                <c:pt idx="19">
                  <c:v>90.130481403689146</c:v>
                </c:pt>
                <c:pt idx="20">
                  <c:v>90.144577732619553</c:v>
                </c:pt>
                <c:pt idx="21">
                  <c:v>90.159396950213051</c:v>
                </c:pt>
                <c:pt idx="22">
                  <c:v>90.174939056469654</c:v>
                </c:pt>
                <c:pt idx="23">
                  <c:v>90.191204051389349</c:v>
                </c:pt>
                <c:pt idx="24">
                  <c:v>90.208191934972135</c:v>
                </c:pt>
                <c:pt idx="25">
                  <c:v>90.225902707218026</c:v>
                </c:pt>
                <c:pt idx="26">
                  <c:v>90.244336368127023</c:v>
                </c:pt>
                <c:pt idx="27">
                  <c:v>90.263492917699125</c:v>
                </c:pt>
                <c:pt idx="28">
                  <c:v>90.28337235593429</c:v>
                </c:pt>
                <c:pt idx="29">
                  <c:v>90.303974682832589</c:v>
                </c:pt>
                <c:pt idx="30">
                  <c:v>90.325299898393979</c:v>
                </c:pt>
                <c:pt idx="31">
                  <c:v>90.347348002618475</c:v>
                </c:pt>
                <c:pt idx="32">
                  <c:v>90.370118995506033</c:v>
                </c:pt>
                <c:pt idx="33">
                  <c:v>90.393612877056711</c:v>
                </c:pt>
                <c:pt idx="34">
                  <c:v>90.417829647270494</c:v>
                </c:pt>
                <c:pt idx="35">
                  <c:v>90.442769306147369</c:v>
                </c:pt>
                <c:pt idx="36">
                  <c:v>90.468431853687321</c:v>
                </c:pt>
                <c:pt idx="37">
                  <c:v>90.494817289890392</c:v>
                </c:pt>
                <c:pt idx="38">
                  <c:v>90.521925614756569</c:v>
                </c:pt>
                <c:pt idx="39">
                  <c:v>90.549756828285808</c:v>
                </c:pt>
                <c:pt idx="40">
                  <c:v>90.578310930478182</c:v>
                </c:pt>
                <c:pt idx="41">
                  <c:v>90.607587921333646</c:v>
                </c:pt>
                <c:pt idx="42">
                  <c:v>90.637587800852216</c:v>
                </c:pt>
                <c:pt idx="43">
                  <c:v>90.668310569033864</c:v>
                </c:pt>
                <c:pt idx="44">
                  <c:v>90.699756225878602</c:v>
                </c:pt>
                <c:pt idx="45">
                  <c:v>90.73192477138646</c:v>
                </c:pt>
                <c:pt idx="46">
                  <c:v>90.764816205557409</c:v>
                </c:pt>
                <c:pt idx="47">
                  <c:v>90.798430528391449</c:v>
                </c:pt>
                <c:pt idx="48">
                  <c:v>90.832767739888581</c:v>
                </c:pt>
                <c:pt idx="49">
                  <c:v>90.867827840048832</c:v>
                </c:pt>
                <c:pt idx="50">
                  <c:v>90.903610828872175</c:v>
                </c:pt>
                <c:pt idx="51">
                  <c:v>90.940116706358594</c:v>
                </c:pt>
                <c:pt idx="52">
                  <c:v>90.977345472508134</c:v>
                </c:pt>
                <c:pt idx="53">
                  <c:v>91.015297127320764</c:v>
                </c:pt>
                <c:pt idx="54">
                  <c:v>91.053971670796514</c:v>
                </c:pt>
                <c:pt idx="55">
                  <c:v>91.093369102935313</c:v>
                </c:pt>
                <c:pt idx="56">
                  <c:v>91.133489423737245</c:v>
                </c:pt>
                <c:pt idx="57">
                  <c:v>91.174332633202269</c:v>
                </c:pt>
                <c:pt idx="58">
                  <c:v>91.215898731330398</c:v>
                </c:pt>
                <c:pt idx="59">
                  <c:v>91.258187718121604</c:v>
                </c:pt>
                <c:pt idx="60">
                  <c:v>91.301199593575916</c:v>
                </c:pt>
                <c:pt idx="61">
                  <c:v>91.344934357693347</c:v>
                </c:pt>
                <c:pt idx="62">
                  <c:v>91.389392010473841</c:v>
                </c:pt>
                <c:pt idx="63">
                  <c:v>91.434572551917455</c:v>
                </c:pt>
                <c:pt idx="64">
                  <c:v>91.480475982024174</c:v>
                </c:pt>
                <c:pt idx="65">
                  <c:v>91.527102300793985</c:v>
                </c:pt>
                <c:pt idx="66">
                  <c:v>91.574451508226858</c:v>
                </c:pt>
                <c:pt idx="67">
                  <c:v>91.622523604322865</c:v>
                </c:pt>
                <c:pt idx="68">
                  <c:v>91.671318589081977</c:v>
                </c:pt>
                <c:pt idx="69">
                  <c:v>91.720836462504181</c:v>
                </c:pt>
                <c:pt idx="70">
                  <c:v>91.771077224589447</c:v>
                </c:pt>
                <c:pt idx="71">
                  <c:v>91.822040875337834</c:v>
                </c:pt>
                <c:pt idx="72">
                  <c:v>91.873727414749339</c:v>
                </c:pt>
                <c:pt idx="73">
                  <c:v>91.926136842823922</c:v>
                </c:pt>
                <c:pt idx="74">
                  <c:v>91.979269159561596</c:v>
                </c:pt>
                <c:pt idx="75">
                  <c:v>92.03312436496239</c:v>
                </c:pt>
                <c:pt idx="76">
                  <c:v>92.087702459026275</c:v>
                </c:pt>
                <c:pt idx="77">
                  <c:v>92.143003441753251</c:v>
                </c:pt>
                <c:pt idx="78">
                  <c:v>92.199027313143318</c:v>
                </c:pt>
                <c:pt idx="79">
                  <c:v>92.255774073196491</c:v>
                </c:pt>
                <c:pt idx="80">
                  <c:v>92.31324372191277</c:v>
                </c:pt>
                <c:pt idx="81">
                  <c:v>92.371436259292125</c:v>
                </c:pt>
                <c:pt idx="82">
                  <c:v>92.430351685334585</c:v>
                </c:pt>
                <c:pt idx="83">
                  <c:v>92.489990000040137</c:v>
                </c:pt>
                <c:pt idx="84">
                  <c:v>92.550351203408837</c:v>
                </c:pt>
                <c:pt idx="85">
                  <c:v>92.611435295440572</c:v>
                </c:pt>
                <c:pt idx="86">
                  <c:v>92.673242276135426</c:v>
                </c:pt>
                <c:pt idx="87">
                  <c:v>92.735772145493399</c:v>
                </c:pt>
                <c:pt idx="88">
                  <c:v>92.79902490351445</c:v>
                </c:pt>
                <c:pt idx="89">
                  <c:v>92.863000550198578</c:v>
                </c:pt>
                <c:pt idx="90">
                  <c:v>92.927699085545839</c:v>
                </c:pt>
                <c:pt idx="91">
                  <c:v>92.993120509556178</c:v>
                </c:pt>
                <c:pt idx="92">
                  <c:v>93.059264822229636</c:v>
                </c:pt>
                <c:pt idx="93">
                  <c:v>93.126132023566157</c:v>
                </c:pt>
                <c:pt idx="94">
                  <c:v>93.193722113565798</c:v>
                </c:pt>
                <c:pt idx="95">
                  <c:v>93.262035092228544</c:v>
                </c:pt>
                <c:pt idx="96">
                  <c:v>93.331070959554381</c:v>
                </c:pt>
                <c:pt idx="97">
                  <c:v>93.400829715543296</c:v>
                </c:pt>
                <c:pt idx="98">
                  <c:v>93.47131136019533</c:v>
                </c:pt>
                <c:pt idx="99">
                  <c:v>93.542515893510455</c:v>
                </c:pt>
                <c:pt idx="100">
                  <c:v>93.6144433154887</c:v>
                </c:pt>
                <c:pt idx="101">
                  <c:v>93.687093626130007</c:v>
                </c:pt>
                <c:pt idx="102">
                  <c:v>93.760466825434435</c:v>
                </c:pt>
                <c:pt idx="103">
                  <c:v>93.834562913401953</c:v>
                </c:pt>
                <c:pt idx="104">
                  <c:v>93.909381890032563</c:v>
                </c:pt>
                <c:pt idx="105">
                  <c:v>93.984923755326264</c:v>
                </c:pt>
                <c:pt idx="106">
                  <c:v>94.061188509283085</c:v>
                </c:pt>
                <c:pt idx="107">
                  <c:v>94.138176151903011</c:v>
                </c:pt>
                <c:pt idx="108">
                  <c:v>94.215886683186</c:v>
                </c:pt>
                <c:pt idx="109">
                  <c:v>94.294320103132094</c:v>
                </c:pt>
                <c:pt idx="110">
                  <c:v>94.373476411741308</c:v>
                </c:pt>
                <c:pt idx="111">
                  <c:v>94.453355609013627</c:v>
                </c:pt>
                <c:pt idx="112">
                  <c:v>94.533957694948995</c:v>
                </c:pt>
                <c:pt idx="113">
                  <c:v>94.615282669547497</c:v>
                </c:pt>
                <c:pt idx="114">
                  <c:v>94.697330532809104</c:v>
                </c:pt>
                <c:pt idx="115">
                  <c:v>94.780101284733803</c:v>
                </c:pt>
                <c:pt idx="116">
                  <c:v>94.863594925321564</c:v>
                </c:pt>
                <c:pt idx="117">
                  <c:v>94.947811454572459</c:v>
                </c:pt>
                <c:pt idx="118">
                  <c:v>95.032750872486446</c:v>
                </c:pt>
                <c:pt idx="119">
                  <c:v>95.118413179063538</c:v>
                </c:pt>
                <c:pt idx="120">
                  <c:v>95.204798374303707</c:v>
                </c:pt>
                <c:pt idx="121">
                  <c:v>95.291906458206995</c:v>
                </c:pt>
                <c:pt idx="122">
                  <c:v>95.379737430773361</c:v>
                </c:pt>
                <c:pt idx="123">
                  <c:v>95.468291292002846</c:v>
                </c:pt>
                <c:pt idx="124">
                  <c:v>95.557568041895408</c:v>
                </c:pt>
                <c:pt idx="125">
                  <c:v>95.64756768045109</c:v>
                </c:pt>
                <c:pt idx="126">
                  <c:v>95.738290207669849</c:v>
                </c:pt>
                <c:pt idx="127">
                  <c:v>95.829735623551699</c:v>
                </c:pt>
                <c:pt idx="128">
                  <c:v>95.921903928096668</c:v>
                </c:pt>
                <c:pt idx="129">
                  <c:v>96.014795121304729</c:v>
                </c:pt>
                <c:pt idx="130">
                  <c:v>96.108409203175896</c:v>
                </c:pt>
                <c:pt idx="131">
                  <c:v>96.202746173710125</c:v>
                </c:pt>
                <c:pt idx="132">
                  <c:v>96.297806032907488</c:v>
                </c:pt>
                <c:pt idx="133">
                  <c:v>96.393588780767942</c:v>
                </c:pt>
                <c:pt idx="134">
                  <c:v>96.490094417291516</c:v>
                </c:pt>
                <c:pt idx="135">
                  <c:v>96.587322942478124</c:v>
                </c:pt>
                <c:pt idx="136">
                  <c:v>96.685274356327881</c:v>
                </c:pt>
                <c:pt idx="137">
                  <c:v>96.783948658840728</c:v>
                </c:pt>
                <c:pt idx="138">
                  <c:v>96.883345850016667</c:v>
                </c:pt>
                <c:pt idx="139">
                  <c:v>96.983465929855697</c:v>
                </c:pt>
                <c:pt idx="140">
                  <c:v>97.084308898357818</c:v>
                </c:pt>
                <c:pt idx="141">
                  <c:v>97.185874755523074</c:v>
                </c:pt>
                <c:pt idx="142">
                  <c:v>97.288163501351391</c:v>
                </c:pt>
                <c:pt idx="143">
                  <c:v>97.391175135842815</c:v>
                </c:pt>
                <c:pt idx="144">
                  <c:v>97.494909658997358</c:v>
                </c:pt>
                <c:pt idx="145">
                  <c:v>97.599367070814978</c:v>
                </c:pt>
                <c:pt idx="146">
                  <c:v>97.704547371295689</c:v>
                </c:pt>
                <c:pt idx="147">
                  <c:v>97.810450560439506</c:v>
                </c:pt>
                <c:pt idx="148">
                  <c:v>97.917076638246428</c:v>
                </c:pt>
                <c:pt idx="149">
                  <c:v>98.024425604716441</c:v>
                </c:pt>
                <c:pt idx="150">
                  <c:v>98.13249745984956</c:v>
                </c:pt>
                <c:pt idx="151">
                  <c:v>98.241292203645756</c:v>
                </c:pt>
                <c:pt idx="152">
                  <c:v>98.350809836105071</c:v>
                </c:pt>
                <c:pt idx="153">
                  <c:v>98.461050357227464</c:v>
                </c:pt>
                <c:pt idx="154">
                  <c:v>98.572013767012976</c:v>
                </c:pt>
                <c:pt idx="155">
                  <c:v>98.683700065461565</c:v>
                </c:pt>
                <c:pt idx="156">
                  <c:v>98.796109252573288</c:v>
                </c:pt>
                <c:pt idx="157">
                  <c:v>98.909241328348088</c:v>
                </c:pt>
                <c:pt idx="158">
                  <c:v>99.023096292785965</c:v>
                </c:pt>
                <c:pt idx="159">
                  <c:v>99.137674145886962</c:v>
                </c:pt>
                <c:pt idx="160">
                  <c:v>99.25297488765105</c:v>
                </c:pt>
                <c:pt idx="161">
                  <c:v>99.368998518078229</c:v>
                </c:pt>
                <c:pt idx="162">
                  <c:v>99.485745037168527</c:v>
                </c:pt>
                <c:pt idx="163">
                  <c:v>99.603214444921917</c:v>
                </c:pt>
                <c:pt idx="164">
                  <c:v>99.721406741338399</c:v>
                </c:pt>
                <c:pt idx="165">
                  <c:v>99.840321926417957</c:v>
                </c:pt>
                <c:pt idx="166">
                  <c:v>99.959960000160635</c:v>
                </c:pt>
                <c:pt idx="167">
                  <c:v>100.08032096256642</c:v>
                </c:pt>
                <c:pt idx="168">
                  <c:v>100.20140481363529</c:v>
                </c:pt>
                <c:pt idx="169">
                  <c:v>100.32321155336726</c:v>
                </c:pt>
                <c:pt idx="170">
                  <c:v>100.44574118176232</c:v>
                </c:pt>
                <c:pt idx="171">
                  <c:v>100.56899369882049</c:v>
                </c:pt>
                <c:pt idx="172">
                  <c:v>100.69296910454173</c:v>
                </c:pt>
                <c:pt idx="173">
                  <c:v>100.81766739892612</c:v>
                </c:pt>
                <c:pt idx="174">
                  <c:v>100.94308858197356</c:v>
                </c:pt>
                <c:pt idx="175">
                  <c:v>101.06923265368411</c:v>
                </c:pt>
                <c:pt idx="176">
                  <c:v>101.19609961405777</c:v>
                </c:pt>
                <c:pt idx="177">
                  <c:v>101.32368946309452</c:v>
                </c:pt>
                <c:pt idx="178">
                  <c:v>101.45200220079437</c:v>
                </c:pt>
                <c:pt idx="179">
                  <c:v>101.58103782715733</c:v>
                </c:pt>
                <c:pt idx="180">
                  <c:v>101.71079634218336</c:v>
                </c:pt>
                <c:pt idx="181">
                  <c:v>101.8412777458725</c:v>
                </c:pt>
                <c:pt idx="182">
                  <c:v>101.97248203822474</c:v>
                </c:pt>
                <c:pt idx="183">
                  <c:v>102.10440921924008</c:v>
                </c:pt>
                <c:pt idx="184">
                  <c:v>102.23705928891852</c:v>
                </c:pt>
                <c:pt idx="185">
                  <c:v>102.37043224726006</c:v>
                </c:pt>
                <c:pt idx="186">
                  <c:v>102.50452809426469</c:v>
                </c:pt>
                <c:pt idx="187">
                  <c:v>102.63934682993241</c:v>
                </c:pt>
                <c:pt idx="188">
                  <c:v>102.77488845426322</c:v>
                </c:pt>
                <c:pt idx="189">
                  <c:v>102.91115296725715</c:v>
                </c:pt>
                <c:pt idx="190">
                  <c:v>103.04814036891418</c:v>
                </c:pt>
                <c:pt idx="191">
                  <c:v>103.18585065923429</c:v>
                </c:pt>
                <c:pt idx="192">
                  <c:v>103.32428383821753</c:v>
                </c:pt>
                <c:pt idx="193">
                  <c:v>103.46343990586382</c:v>
                </c:pt>
                <c:pt idx="194">
                  <c:v>103.60331886217324</c:v>
                </c:pt>
                <c:pt idx="195">
                  <c:v>103.74392070714575</c:v>
                </c:pt>
                <c:pt idx="196">
                  <c:v>103.88524544078138</c:v>
                </c:pt>
                <c:pt idx="197">
                  <c:v>104.02729306308007</c:v>
                </c:pt>
                <c:pt idx="198">
                  <c:v>104.17006357404186</c:v>
                </c:pt>
                <c:pt idx="199">
                  <c:v>104.31355697366678</c:v>
                </c:pt>
                <c:pt idx="200">
                  <c:v>104.45777326195477</c:v>
                </c:pt>
                <c:pt idx="201">
                  <c:v>104.60271243890585</c:v>
                </c:pt>
                <c:pt idx="202">
                  <c:v>104.74837450452006</c:v>
                </c:pt>
                <c:pt idx="203">
                  <c:v>104.89475945879735</c:v>
                </c:pt>
                <c:pt idx="204">
                  <c:v>105.04186730173774</c:v>
                </c:pt>
                <c:pt idx="205">
                  <c:v>105.18969803334123</c:v>
                </c:pt>
                <c:pt idx="206">
                  <c:v>105.33825165360781</c:v>
                </c:pt>
                <c:pt idx="207">
                  <c:v>105.4875281625375</c:v>
                </c:pt>
                <c:pt idx="208">
                  <c:v>105.63752756013028</c:v>
                </c:pt>
                <c:pt idx="209">
                  <c:v>105.78824984638617</c:v>
                </c:pt>
                <c:pt idx="210">
                  <c:v>105.93969502130513</c:v>
                </c:pt>
                <c:pt idx="211">
                  <c:v>106.09186308488719</c:v>
                </c:pt>
                <c:pt idx="212">
                  <c:v>106.24475403713237</c:v>
                </c:pt>
                <c:pt idx="213">
                  <c:v>106.39836787804066</c:v>
                </c:pt>
                <c:pt idx="214">
                  <c:v>106.55270460761201</c:v>
                </c:pt>
                <c:pt idx="215">
                  <c:v>106.70776422584649</c:v>
                </c:pt>
                <c:pt idx="216">
                  <c:v>106.86354673274404</c:v>
                </c:pt>
                <c:pt idx="217">
                  <c:v>107.02005212830471</c:v>
                </c:pt>
                <c:pt idx="218">
                  <c:v>107.17728041252846</c:v>
                </c:pt>
                <c:pt idx="219">
                  <c:v>107.33523158541533</c:v>
                </c:pt>
                <c:pt idx="220">
                  <c:v>107.49390564696526</c:v>
                </c:pt>
                <c:pt idx="221">
                  <c:v>107.65330259717832</c:v>
                </c:pt>
                <c:pt idx="222">
                  <c:v>107.81342243605448</c:v>
                </c:pt>
                <c:pt idx="223">
                  <c:v>107.97426516359373</c:v>
                </c:pt>
                <c:pt idx="224">
                  <c:v>108.13583077979607</c:v>
                </c:pt>
                <c:pt idx="225">
                  <c:v>108.29811928466151</c:v>
                </c:pt>
                <c:pt idx="226">
                  <c:v>108.46113067819005</c:v>
                </c:pt>
                <c:pt idx="227">
                  <c:v>108.62486496038167</c:v>
                </c:pt>
                <c:pt idx="228">
                  <c:v>108.78932213123642</c:v>
                </c:pt>
                <c:pt idx="229">
                  <c:v>108.95450219075424</c:v>
                </c:pt>
                <c:pt idx="230">
                  <c:v>109.12040513893518</c:v>
                </c:pt>
                <c:pt idx="231">
                  <c:v>109.2870309757792</c:v>
                </c:pt>
                <c:pt idx="232">
                  <c:v>109.45437970128634</c:v>
                </c:pt>
                <c:pt idx="233">
                  <c:v>109.62245131545656</c:v>
                </c:pt>
                <c:pt idx="234">
                  <c:v>109.79124581828988</c:v>
                </c:pt>
                <c:pt idx="235">
                  <c:v>109.96076320978629</c:v>
                </c:pt>
                <c:pt idx="236">
                  <c:v>110.13100348994583</c:v>
                </c:pt>
                <c:pt idx="237">
                  <c:v>110.30196665876844</c:v>
                </c:pt>
                <c:pt idx="238">
                  <c:v>110.47365271625415</c:v>
                </c:pt>
                <c:pt idx="239">
                  <c:v>110.64606166240296</c:v>
                </c:pt>
                <c:pt idx="240">
                  <c:v>110.81919349721487</c:v>
                </c:pt>
                <c:pt idx="241">
                  <c:v>110.99304822068987</c:v>
                </c:pt>
                <c:pt idx="242">
                  <c:v>111.16762583282798</c:v>
                </c:pt>
                <c:pt idx="243">
                  <c:v>111.34292633362918</c:v>
                </c:pt>
                <c:pt idx="244">
                  <c:v>111.51894972309348</c:v>
                </c:pt>
                <c:pt idx="245">
                  <c:v>111.69569600122088</c:v>
                </c:pt>
                <c:pt idx="246">
                  <c:v>111.87316516801138</c:v>
                </c:pt>
                <c:pt idx="247">
                  <c:v>112.05135722346496</c:v>
                </c:pt>
                <c:pt idx="248">
                  <c:v>112.23027216758166</c:v>
                </c:pt>
                <c:pt idx="249">
                  <c:v>112.40991000036144</c:v>
                </c:pt>
                <c:pt idx="250">
                  <c:v>112.59027072180433</c:v>
                </c:pt>
                <c:pt idx="251">
                  <c:v>112.77135433191032</c:v>
                </c:pt>
                <c:pt idx="252">
                  <c:v>112.95316083067939</c:v>
                </c:pt>
                <c:pt idx="253">
                  <c:v>113.13569021811156</c:v>
                </c:pt>
                <c:pt idx="254">
                  <c:v>113.31894249420685</c:v>
                </c:pt>
                <c:pt idx="255">
                  <c:v>113.50291765896523</c:v>
                </c:pt>
                <c:pt idx="256">
                  <c:v>113.68761571238669</c:v>
                </c:pt>
                <c:pt idx="257">
                  <c:v>113.87303665447126</c:v>
                </c:pt>
                <c:pt idx="258">
                  <c:v>114.05918048521892</c:v>
                </c:pt>
                <c:pt idx="259">
                  <c:v>114.2460472046297</c:v>
                </c:pt>
                <c:pt idx="260">
                  <c:v>114.43363681270355</c:v>
                </c:pt>
                <c:pt idx="261">
                  <c:v>114.62194930944052</c:v>
                </c:pt>
                <c:pt idx="262">
                  <c:v>114.81098469484057</c:v>
                </c:pt>
                <c:pt idx="263">
                  <c:v>115.00074296890375</c:v>
                </c:pt>
                <c:pt idx="264">
                  <c:v>115.19122413162999</c:v>
                </c:pt>
                <c:pt idx="265">
                  <c:v>115.38242818301936</c:v>
                </c:pt>
                <c:pt idx="266">
                  <c:v>115.5743551230718</c:v>
                </c:pt>
                <c:pt idx="267">
                  <c:v>115.76700495178734</c:v>
                </c:pt>
                <c:pt idx="268">
                  <c:v>115.96037766916599</c:v>
                </c:pt>
                <c:pt idx="269">
                  <c:v>116.15447327520772</c:v>
                </c:pt>
                <c:pt idx="270">
                  <c:v>116.34929176991257</c:v>
                </c:pt>
                <c:pt idx="271">
                  <c:v>116.54483315328051</c:v>
                </c:pt>
                <c:pt idx="272">
                  <c:v>116.74109742531155</c:v>
                </c:pt>
                <c:pt idx="273">
                  <c:v>116.93808458600567</c:v>
                </c:pt>
                <c:pt idx="274">
                  <c:v>117.13579463536291</c:v>
                </c:pt>
                <c:pt idx="275">
                  <c:v>117.33422757338323</c:v>
                </c:pt>
                <c:pt idx="276">
                  <c:v>117.53338340006667</c:v>
                </c:pt>
                <c:pt idx="277">
                  <c:v>117.73326211541318</c:v>
                </c:pt>
                <c:pt idx="278">
                  <c:v>117.93386371942282</c:v>
                </c:pt>
                <c:pt idx="279">
                  <c:v>118.13518821209553</c:v>
                </c:pt>
                <c:pt idx="280">
                  <c:v>118.33723559343136</c:v>
                </c:pt>
                <c:pt idx="281">
                  <c:v>118.54000586343025</c:v>
                </c:pt>
                <c:pt idx="282">
                  <c:v>118.74349902209229</c:v>
                </c:pt>
                <c:pt idx="283">
                  <c:v>118.94771506941738</c:v>
                </c:pt>
                <c:pt idx="284">
                  <c:v>119.15265400540561</c:v>
                </c:pt>
                <c:pt idx="285">
                  <c:v>119.3583158300569</c:v>
                </c:pt>
                <c:pt idx="286">
                  <c:v>119.56470054337132</c:v>
                </c:pt>
                <c:pt idx="287">
                  <c:v>119.77180814534881</c:v>
                </c:pt>
                <c:pt idx="288">
                  <c:v>119.97963863598942</c:v>
                </c:pt>
                <c:pt idx="289">
                  <c:v>120.18819201529311</c:v>
                </c:pt>
                <c:pt idx="290">
                  <c:v>120.39746828325991</c:v>
                </c:pt>
                <c:pt idx="291">
                  <c:v>120.60746743988979</c:v>
                </c:pt>
                <c:pt idx="292">
                  <c:v>120.81818948518278</c:v>
                </c:pt>
                <c:pt idx="293">
                  <c:v>121.02963441913889</c:v>
                </c:pt>
                <c:pt idx="294">
                  <c:v>121.24180224175805</c:v>
                </c:pt>
                <c:pt idx="295">
                  <c:v>121.45469295304035</c:v>
                </c:pt>
                <c:pt idx="296">
                  <c:v>121.66830655298574</c:v>
                </c:pt>
                <c:pt idx="297">
                  <c:v>121.88264304159421</c:v>
                </c:pt>
                <c:pt idx="298">
                  <c:v>122.09770241886579</c:v>
                </c:pt>
                <c:pt idx="299">
                  <c:v>122.31348468480046</c:v>
                </c:pt>
                <c:pt idx="300">
                  <c:v>122.52998983939824</c:v>
                </c:pt>
                <c:pt idx="301">
                  <c:v>122.7472178826591</c:v>
                </c:pt>
                <c:pt idx="302">
                  <c:v>122.96516881458307</c:v>
                </c:pt>
                <c:pt idx="303">
                  <c:v>123.18384263517015</c:v>
                </c:pt>
                <c:pt idx="304">
                  <c:v>123.40323934442029</c:v>
                </c:pt>
                <c:pt idx="305">
                  <c:v>123.62335894233357</c:v>
                </c:pt>
                <c:pt idx="306">
                  <c:v>123.84420142890991</c:v>
                </c:pt>
                <c:pt idx="307">
                  <c:v>124.06576680414938</c:v>
                </c:pt>
                <c:pt idx="308">
                  <c:v>124.28805506805193</c:v>
                </c:pt>
                <c:pt idx="309">
                  <c:v>124.51106622061758</c:v>
                </c:pt>
                <c:pt idx="310">
                  <c:v>124.73480026184635</c:v>
                </c:pt>
                <c:pt idx="311">
                  <c:v>124.95925719173819</c:v>
                </c:pt>
                <c:pt idx="312">
                  <c:v>125.18443701029312</c:v>
                </c:pt>
                <c:pt idx="313">
                  <c:v>125.41033971751116</c:v>
                </c:pt>
                <c:pt idx="314">
                  <c:v>125.63696531339231</c:v>
                </c:pt>
                <c:pt idx="315">
                  <c:v>125.86431379793655</c:v>
                </c:pt>
                <c:pt idx="316">
                  <c:v>126.0923851711439</c:v>
                </c:pt>
                <c:pt idx="317">
                  <c:v>126.32117943301432</c:v>
                </c:pt>
                <c:pt idx="318">
                  <c:v>126.55069658354786</c:v>
                </c:pt>
                <c:pt idx="319">
                  <c:v>126.78093662274446</c:v>
                </c:pt>
                <c:pt idx="320">
                  <c:v>127.01189955060421</c:v>
                </c:pt>
                <c:pt idx="321">
                  <c:v>127.24358536712704</c:v>
                </c:pt>
                <c:pt idx="322">
                  <c:v>127.47599407231296</c:v>
                </c:pt>
                <c:pt idx="323">
                  <c:v>127.70912566616198</c:v>
                </c:pt>
                <c:pt idx="324">
                  <c:v>127.9429801486741</c:v>
                </c:pt>
                <c:pt idx="325">
                  <c:v>128.1775575198493</c:v>
                </c:pt>
                <c:pt idx="326">
                  <c:v>128.41285777968764</c:v>
                </c:pt>
                <c:pt idx="327">
                  <c:v>128.64888092818904</c:v>
                </c:pt>
                <c:pt idx="328">
                  <c:v>128.88562696535354</c:v>
                </c:pt>
                <c:pt idx="329">
                  <c:v>129.12309589118115</c:v>
                </c:pt>
                <c:pt idx="330">
                  <c:v>129.36128770567186</c:v>
                </c:pt>
                <c:pt idx="331">
                  <c:v>129.60020240882568</c:v>
                </c:pt>
                <c:pt idx="332">
                  <c:v>129.83984000064257</c:v>
                </c:pt>
                <c:pt idx="333">
                  <c:v>130.08020048112257</c:v>
                </c:pt>
                <c:pt idx="334">
                  <c:v>130.32128385026567</c:v>
                </c:pt>
                <c:pt idx="335">
                  <c:v>130.56309010807186</c:v>
                </c:pt>
                <c:pt idx="336">
                  <c:v>130.80561925454117</c:v>
                </c:pt>
                <c:pt idx="337">
                  <c:v>131.04887128967351</c:v>
                </c:pt>
                <c:pt idx="338">
                  <c:v>131.29284621346903</c:v>
                </c:pt>
                <c:pt idx="339">
                  <c:v>131.53754402592762</c:v>
                </c:pt>
                <c:pt idx="340">
                  <c:v>131.78296472704929</c:v>
                </c:pt>
                <c:pt idx="341">
                  <c:v>132.02910831683408</c:v>
                </c:pt>
                <c:pt idx="342">
                  <c:v>132.27597479528194</c:v>
                </c:pt>
                <c:pt idx="343">
                  <c:v>132.52356416239292</c:v>
                </c:pt>
                <c:pt idx="344">
                  <c:v>132.77187641816698</c:v>
                </c:pt>
                <c:pt idx="345">
                  <c:v>133.02091156260417</c:v>
                </c:pt>
                <c:pt idx="346">
                  <c:v>133.27066959570442</c:v>
                </c:pt>
                <c:pt idx="347">
                  <c:v>133.52115051746779</c:v>
                </c:pt>
                <c:pt idx="348">
                  <c:v>133.77235432789428</c:v>
                </c:pt>
                <c:pt idx="349">
                  <c:v>134.02428102698383</c:v>
                </c:pt>
                <c:pt idx="350">
                  <c:v>134.27693061473647</c:v>
                </c:pt>
                <c:pt idx="351">
                  <c:v>134.53030309115223</c:v>
                </c:pt>
                <c:pt idx="352">
                  <c:v>134.78439845623109</c:v>
                </c:pt>
                <c:pt idx="353">
                  <c:v>135.03921670997306</c:v>
                </c:pt>
                <c:pt idx="354">
                  <c:v>135.2947578523781</c:v>
                </c:pt>
                <c:pt idx="355">
                  <c:v>135.55102188344625</c:v>
                </c:pt>
                <c:pt idx="356">
                  <c:v>135.8080088031775</c:v>
                </c:pt>
                <c:pt idx="357">
                  <c:v>136.06571861157184</c:v>
                </c:pt>
                <c:pt idx="358">
                  <c:v>136.32415130862927</c:v>
                </c:pt>
                <c:pt idx="359">
                  <c:v>136.58330689434985</c:v>
                </c:pt>
                <c:pt idx="360">
                  <c:v>136.84318536873346</c:v>
                </c:pt>
                <c:pt idx="361">
                  <c:v>137.10378673178019</c:v>
                </c:pt>
                <c:pt idx="362">
                  <c:v>137.36511098349001</c:v>
                </c:pt>
                <c:pt idx="363">
                  <c:v>137.62715812386296</c:v>
                </c:pt>
                <c:pt idx="364">
                  <c:v>137.88992815289899</c:v>
                </c:pt>
                <c:pt idx="365">
                  <c:v>138.15342107059811</c:v>
                </c:pt>
                <c:pt idx="366">
                  <c:v>138.41763687696033</c:v>
                </c:pt>
                <c:pt idx="367">
                  <c:v>138.68257557198567</c:v>
                </c:pt>
                <c:pt idx="368">
                  <c:v>138.94823715567406</c:v>
                </c:pt>
                <c:pt idx="369">
                  <c:v>139.21462162802558</c:v>
                </c:pt>
                <c:pt idx="370">
                  <c:v>139.48172898904019</c:v>
                </c:pt>
                <c:pt idx="371">
                  <c:v>139.74955923871792</c:v>
                </c:pt>
                <c:pt idx="372">
                  <c:v>140.01811237705874</c:v>
                </c:pt>
                <c:pt idx="373">
                  <c:v>140.28738840406263</c:v>
                </c:pt>
                <c:pt idx="374">
                  <c:v>140.55738731972963</c:v>
                </c:pt>
                <c:pt idx="375">
                  <c:v>140.82810912405975</c:v>
                </c:pt>
                <c:pt idx="376">
                  <c:v>141.09955381705294</c:v>
                </c:pt>
                <c:pt idx="377">
                  <c:v>141.37172139870924</c:v>
                </c:pt>
                <c:pt idx="378">
                  <c:v>141.64461186902864</c:v>
                </c:pt>
                <c:pt idx="379">
                  <c:v>141.91822522801112</c:v>
                </c:pt>
                <c:pt idx="380">
                  <c:v>142.19256147565673</c:v>
                </c:pt>
                <c:pt idx="381">
                  <c:v>142.4676206119654</c:v>
                </c:pt>
                <c:pt idx="382">
                  <c:v>142.74340263693722</c:v>
                </c:pt>
                <c:pt idx="383">
                  <c:v>143.01990755057207</c:v>
                </c:pt>
                <c:pt idx="384">
                  <c:v>143.29713535287007</c:v>
                </c:pt>
                <c:pt idx="385">
                  <c:v>143.57508604383116</c:v>
                </c:pt>
                <c:pt idx="386">
                  <c:v>143.85375962345532</c:v>
                </c:pt>
                <c:pt idx="387">
                  <c:v>144.13315609174259</c:v>
                </c:pt>
                <c:pt idx="388">
                  <c:v>144.41327544869296</c:v>
                </c:pt>
                <c:pt idx="389">
                  <c:v>144.69411769430644</c:v>
                </c:pt>
                <c:pt idx="390">
                  <c:v>144.97568282858302</c:v>
                </c:pt>
                <c:pt idx="391">
                  <c:v>145.25797085152269</c:v>
                </c:pt>
                <c:pt idx="392">
                  <c:v>145.54098176312544</c:v>
                </c:pt>
                <c:pt idx="393">
                  <c:v>145.82471556339129</c:v>
                </c:pt>
                <c:pt idx="394">
                  <c:v>146.10917225232026</c:v>
                </c:pt>
                <c:pt idx="395">
                  <c:v>146.39435182991235</c:v>
                </c:pt>
                <c:pt idx="396">
                  <c:v>146.68025429616748</c:v>
                </c:pt>
                <c:pt idx="397">
                  <c:v>146.96687965108575</c:v>
                </c:pt>
                <c:pt idx="398">
                  <c:v>147.25422789466711</c:v>
                </c:pt>
                <c:pt idx="399">
                  <c:v>147.54229902691154</c:v>
                </c:pt>
                <c:pt idx="400">
                  <c:v>147.83109304781908</c:v>
                </c:pt>
                <c:pt idx="401">
                  <c:v>148.12060995738972</c:v>
                </c:pt>
                <c:pt idx="402">
                  <c:v>148.41084975562347</c:v>
                </c:pt>
                <c:pt idx="403">
                  <c:v>148.70181244252032</c:v>
                </c:pt>
                <c:pt idx="404">
                  <c:v>148.99349801808023</c:v>
                </c:pt>
                <c:pt idx="405">
                  <c:v>149.28590648230329</c:v>
                </c:pt>
                <c:pt idx="406">
                  <c:v>149.57903783518941</c:v>
                </c:pt>
                <c:pt idx="407">
                  <c:v>149.87289207673865</c:v>
                </c:pt>
                <c:pt idx="408">
                  <c:v>150.16746920695098</c:v>
                </c:pt>
                <c:pt idx="409">
                  <c:v>150.46276922582641</c:v>
                </c:pt>
                <c:pt idx="410">
                  <c:v>150.75879213336492</c:v>
                </c:pt>
                <c:pt idx="411">
                  <c:v>151.05553792956653</c:v>
                </c:pt>
                <c:pt idx="412">
                  <c:v>151.35300661443125</c:v>
                </c:pt>
                <c:pt idx="413">
                  <c:v>151.6511981879591</c:v>
                </c:pt>
                <c:pt idx="414">
                  <c:v>151.95011265015</c:v>
                </c:pt>
                <c:pt idx="415">
                  <c:v>152.24975000100403</c:v>
                </c:pt>
                <c:pt idx="416">
                  <c:v>152.55011024052112</c:v>
                </c:pt>
                <c:pt idx="417">
                  <c:v>152.85119336870133</c:v>
                </c:pt>
                <c:pt idx="418">
                  <c:v>153.15299938554463</c:v>
                </c:pt>
                <c:pt idx="419">
                  <c:v>153.45552829105102</c:v>
                </c:pt>
                <c:pt idx="420">
                  <c:v>153.75878008522054</c:v>
                </c:pt>
                <c:pt idx="421">
                  <c:v>154.06275476805314</c:v>
                </c:pt>
                <c:pt idx="422">
                  <c:v>154.36745233954883</c:v>
                </c:pt>
                <c:pt idx="423">
                  <c:v>154.67287279970765</c:v>
                </c:pt>
                <c:pt idx="424">
                  <c:v>154.97901614852952</c:v>
                </c:pt>
                <c:pt idx="425">
                  <c:v>155.28588238601452</c:v>
                </c:pt>
                <c:pt idx="426">
                  <c:v>155.59347151216261</c:v>
                </c:pt>
                <c:pt idx="427">
                  <c:v>155.90178352697379</c:v>
                </c:pt>
                <c:pt idx="428">
                  <c:v>156.21081843044806</c:v>
                </c:pt>
                <c:pt idx="429">
                  <c:v>156.52057622258545</c:v>
                </c:pt>
                <c:pt idx="430">
                  <c:v>156.83105690338593</c:v>
                </c:pt>
                <c:pt idx="431">
                  <c:v>157.1422604728495</c:v>
                </c:pt>
                <c:pt idx="432">
                  <c:v>157.45418693097616</c:v>
                </c:pt>
                <c:pt idx="433">
                  <c:v>157.76683627776595</c:v>
                </c:pt>
                <c:pt idx="434">
                  <c:v>158.08020851321882</c:v>
                </c:pt>
                <c:pt idx="435">
                  <c:v>158.39430363733479</c:v>
                </c:pt>
                <c:pt idx="436">
                  <c:v>158.70912165011387</c:v>
                </c:pt>
                <c:pt idx="437">
                  <c:v>159.02466255155602</c:v>
                </c:pt>
                <c:pt idx="438">
                  <c:v>159.34092634166129</c:v>
                </c:pt>
                <c:pt idx="439">
                  <c:v>159.65791302042965</c:v>
                </c:pt>
                <c:pt idx="440">
                  <c:v>159.9756225878611</c:v>
                </c:pt>
                <c:pt idx="441">
                  <c:v>160.29405504395567</c:v>
                </c:pt>
                <c:pt idx="442">
                  <c:v>160.6132103887133</c:v>
                </c:pt>
                <c:pt idx="443">
                  <c:v>160.93308862213405</c:v>
                </c:pt>
                <c:pt idx="444">
                  <c:v>161.25368974421789</c:v>
                </c:pt>
                <c:pt idx="445">
                  <c:v>161.57501375496483</c:v>
                </c:pt>
                <c:pt idx="446">
                  <c:v>161.89706065437488</c:v>
                </c:pt>
                <c:pt idx="447">
                  <c:v>162.21983044244803</c:v>
                </c:pt>
                <c:pt idx="448">
                  <c:v>162.54332311918427</c:v>
                </c:pt>
                <c:pt idx="449">
                  <c:v>162.86753868458359</c:v>
                </c:pt>
                <c:pt idx="450">
                  <c:v>163.19247713864604</c:v>
                </c:pt>
                <c:pt idx="451">
                  <c:v>163.51813848137158</c:v>
                </c:pt>
                <c:pt idx="452">
                  <c:v>163.84452271276018</c:v>
                </c:pt>
                <c:pt idx="453">
                  <c:v>164.1716298328119</c:v>
                </c:pt>
                <c:pt idx="454">
                  <c:v>164.49945984152674</c:v>
                </c:pt>
                <c:pt idx="455">
                  <c:v>164.82801273890465</c:v>
                </c:pt>
                <c:pt idx="456">
                  <c:v>165.1572885249457</c:v>
                </c:pt>
                <c:pt idx="457">
                  <c:v>165.48728719964978</c:v>
                </c:pt>
                <c:pt idx="458">
                  <c:v>165.81800876301702</c:v>
                </c:pt>
                <c:pt idx="459">
                  <c:v>166.14945321504734</c:v>
                </c:pt>
                <c:pt idx="460">
                  <c:v>166.48162055574073</c:v>
                </c:pt>
                <c:pt idx="461">
                  <c:v>166.81451078509724</c:v>
                </c:pt>
                <c:pt idx="462">
                  <c:v>167.14812390311687</c:v>
                </c:pt>
                <c:pt idx="463">
                  <c:v>167.48245990979956</c:v>
                </c:pt>
                <c:pt idx="464">
                  <c:v>167.81751880514537</c:v>
                </c:pt>
                <c:pt idx="465">
                  <c:v>168.15330058915424</c:v>
                </c:pt>
                <c:pt idx="466">
                  <c:v>168.48980526182626</c:v>
                </c:pt>
                <c:pt idx="467">
                  <c:v>168.82703282316137</c:v>
                </c:pt>
                <c:pt idx="468">
                  <c:v>169.16498327315955</c:v>
                </c:pt>
                <c:pt idx="469">
                  <c:v>169.50365661182084</c:v>
                </c:pt>
                <c:pt idx="470">
                  <c:v>169.84305283914523</c:v>
                </c:pt>
                <c:pt idx="471">
                  <c:v>170.18317195513271</c:v>
                </c:pt>
                <c:pt idx="472">
                  <c:v>170.5240139597833</c:v>
                </c:pt>
                <c:pt idx="473">
                  <c:v>170.86557885309696</c:v>
                </c:pt>
                <c:pt idx="474">
                  <c:v>171.20786663507377</c:v>
                </c:pt>
                <c:pt idx="475">
                  <c:v>171.55087730571361</c:v>
                </c:pt>
                <c:pt idx="476">
                  <c:v>171.8946108650166</c:v>
                </c:pt>
                <c:pt idx="477">
                  <c:v>172.23906731298268</c:v>
                </c:pt>
                <c:pt idx="478">
                  <c:v>172.58424664961186</c:v>
                </c:pt>
                <c:pt idx="479">
                  <c:v>172.93014887490412</c:v>
                </c:pt>
                <c:pt idx="480">
                  <c:v>173.27677398885947</c:v>
                </c:pt>
                <c:pt idx="481">
                  <c:v>173.62412199147795</c:v>
                </c:pt>
                <c:pt idx="482">
                  <c:v>173.97219288275951</c:v>
                </c:pt>
                <c:pt idx="483">
                  <c:v>174.32098666270417</c:v>
                </c:pt>
                <c:pt idx="484">
                  <c:v>174.67050333131192</c:v>
                </c:pt>
                <c:pt idx="485">
                  <c:v>175.02074288858279</c:v>
                </c:pt>
                <c:pt idx="486">
                  <c:v>175.37170533451672</c:v>
                </c:pt>
                <c:pt idx="487">
                  <c:v>175.7233906691138</c:v>
                </c:pt>
                <c:pt idx="488">
                  <c:v>176.07579889237391</c:v>
                </c:pt>
                <c:pt idx="489">
                  <c:v>176.42893000429717</c:v>
                </c:pt>
                <c:pt idx="490">
                  <c:v>176.78278400488352</c:v>
                </c:pt>
                <c:pt idx="491">
                  <c:v>177.13736089413294</c:v>
                </c:pt>
                <c:pt idx="492">
                  <c:v>177.4926606720455</c:v>
                </c:pt>
                <c:pt idx="493">
                  <c:v>177.84868333862113</c:v>
                </c:pt>
                <c:pt idx="494">
                  <c:v>178.20542889385987</c:v>
                </c:pt>
                <c:pt idx="495">
                  <c:v>178.56289733776171</c:v>
                </c:pt>
                <c:pt idx="496">
                  <c:v>178.92108867032661</c:v>
                </c:pt>
                <c:pt idx="497">
                  <c:v>179.28000289155466</c:v>
                </c:pt>
                <c:pt idx="498">
                  <c:v>179.63964000144577</c:v>
                </c:pt>
                <c:pt idx="499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BD-4BB9-8C90-5D9AC351CDCE}"/>
            </c:ext>
          </c:extLst>
        </c:ser>
        <c:ser>
          <c:idx val="0"/>
          <c:order val="3"/>
          <c:tx>
            <c:v>　</c:v>
          </c:tx>
          <c:marker>
            <c:symbol val="none"/>
          </c:marker>
          <c:xVal>
            <c:numRef>
              <c:f>Main!$B$12:$B$1011</c:f>
              <c:numCache>
                <c:formatCode>General</c:formatCode>
                <c:ptCount val="1000"/>
                <c:pt idx="0">
                  <c:v>28</c:v>
                </c:pt>
                <c:pt idx="1">
                  <c:v>27.943887775551101</c:v>
                </c:pt>
                <c:pt idx="2">
                  <c:v>27.887775551102205</c:v>
                </c:pt>
                <c:pt idx="3">
                  <c:v>27.831663326653306</c:v>
                </c:pt>
                <c:pt idx="4">
                  <c:v>27.77555110220441</c:v>
                </c:pt>
                <c:pt idx="5">
                  <c:v>27.719438877755511</c:v>
                </c:pt>
                <c:pt idx="6">
                  <c:v>27.663326653306612</c:v>
                </c:pt>
                <c:pt idx="7">
                  <c:v>27.607214428857716</c:v>
                </c:pt>
                <c:pt idx="8">
                  <c:v>27.551102204408817</c:v>
                </c:pt>
                <c:pt idx="9">
                  <c:v>27.494989979959918</c:v>
                </c:pt>
                <c:pt idx="10">
                  <c:v>27.438877755511022</c:v>
                </c:pt>
                <c:pt idx="11">
                  <c:v>27.382765531062123</c:v>
                </c:pt>
                <c:pt idx="12">
                  <c:v>27.326653306613228</c:v>
                </c:pt>
                <c:pt idx="13">
                  <c:v>27.270541082164328</c:v>
                </c:pt>
                <c:pt idx="14">
                  <c:v>27.214428857715429</c:v>
                </c:pt>
                <c:pt idx="15">
                  <c:v>27.158316633266534</c:v>
                </c:pt>
                <c:pt idx="16">
                  <c:v>27.102204408817634</c:v>
                </c:pt>
                <c:pt idx="17">
                  <c:v>27.046092184368739</c:v>
                </c:pt>
                <c:pt idx="18">
                  <c:v>26.98997995991984</c:v>
                </c:pt>
                <c:pt idx="19">
                  <c:v>26.93386773547094</c:v>
                </c:pt>
                <c:pt idx="20">
                  <c:v>26.877755511022045</c:v>
                </c:pt>
                <c:pt idx="21">
                  <c:v>26.821643286573146</c:v>
                </c:pt>
                <c:pt idx="22">
                  <c:v>26.76553106212425</c:v>
                </c:pt>
                <c:pt idx="23">
                  <c:v>26.709418837675351</c:v>
                </c:pt>
                <c:pt idx="24">
                  <c:v>26.653306613226452</c:v>
                </c:pt>
                <c:pt idx="25">
                  <c:v>26.597194388777556</c:v>
                </c:pt>
                <c:pt idx="26">
                  <c:v>26.541082164328657</c:v>
                </c:pt>
                <c:pt idx="27">
                  <c:v>26.484969939879761</c:v>
                </c:pt>
                <c:pt idx="28">
                  <c:v>26.428857715430862</c:v>
                </c:pt>
                <c:pt idx="29">
                  <c:v>26.372745490981963</c:v>
                </c:pt>
                <c:pt idx="30">
                  <c:v>26.316633266533067</c:v>
                </c:pt>
                <c:pt idx="31">
                  <c:v>26.260521042084168</c:v>
                </c:pt>
                <c:pt idx="32">
                  <c:v>26.204408817635269</c:v>
                </c:pt>
                <c:pt idx="33">
                  <c:v>26.148296593186373</c:v>
                </c:pt>
                <c:pt idx="34">
                  <c:v>26.092184368737474</c:v>
                </c:pt>
                <c:pt idx="35">
                  <c:v>26.036072144288578</c:v>
                </c:pt>
                <c:pt idx="36">
                  <c:v>25.979959919839679</c:v>
                </c:pt>
                <c:pt idx="37">
                  <c:v>25.923847695390783</c:v>
                </c:pt>
                <c:pt idx="38">
                  <c:v>25.867735470941884</c:v>
                </c:pt>
                <c:pt idx="39">
                  <c:v>25.811623246492985</c:v>
                </c:pt>
                <c:pt idx="40">
                  <c:v>25.755511022044089</c:v>
                </c:pt>
                <c:pt idx="41">
                  <c:v>25.69939879759519</c:v>
                </c:pt>
                <c:pt idx="42">
                  <c:v>25.643286573146291</c:v>
                </c:pt>
                <c:pt idx="43">
                  <c:v>25.587174348697395</c:v>
                </c:pt>
                <c:pt idx="44">
                  <c:v>25.531062124248496</c:v>
                </c:pt>
                <c:pt idx="45">
                  <c:v>25.474949899799601</c:v>
                </c:pt>
                <c:pt idx="46">
                  <c:v>25.418837675350701</c:v>
                </c:pt>
                <c:pt idx="47">
                  <c:v>25.362725450901802</c:v>
                </c:pt>
                <c:pt idx="48">
                  <c:v>25.306613226452907</c:v>
                </c:pt>
                <c:pt idx="49">
                  <c:v>25.250501002004007</c:v>
                </c:pt>
                <c:pt idx="50">
                  <c:v>25.194388777555112</c:v>
                </c:pt>
                <c:pt idx="51">
                  <c:v>25.138276553106213</c:v>
                </c:pt>
                <c:pt idx="52">
                  <c:v>25.082164328657313</c:v>
                </c:pt>
                <c:pt idx="53">
                  <c:v>25.026052104208418</c:v>
                </c:pt>
                <c:pt idx="54">
                  <c:v>24.969939879759519</c:v>
                </c:pt>
                <c:pt idx="55">
                  <c:v>24.913827655310619</c:v>
                </c:pt>
                <c:pt idx="56">
                  <c:v>24.857715430861724</c:v>
                </c:pt>
                <c:pt idx="57">
                  <c:v>24.801603206412825</c:v>
                </c:pt>
                <c:pt idx="58">
                  <c:v>24.745490981963929</c:v>
                </c:pt>
                <c:pt idx="59">
                  <c:v>24.68937875751503</c:v>
                </c:pt>
                <c:pt idx="60">
                  <c:v>24.633266533066134</c:v>
                </c:pt>
                <c:pt idx="61">
                  <c:v>24.577154308617235</c:v>
                </c:pt>
                <c:pt idx="62">
                  <c:v>24.521042084168336</c:v>
                </c:pt>
                <c:pt idx="63">
                  <c:v>24.46492985971944</c:v>
                </c:pt>
                <c:pt idx="64">
                  <c:v>24.408817635270541</c:v>
                </c:pt>
                <c:pt idx="65">
                  <c:v>24.352705410821642</c:v>
                </c:pt>
                <c:pt idx="66">
                  <c:v>24.296593186372746</c:v>
                </c:pt>
                <c:pt idx="67">
                  <c:v>24.240480961923847</c:v>
                </c:pt>
                <c:pt idx="68">
                  <c:v>24.184368737474948</c:v>
                </c:pt>
                <c:pt idx="69">
                  <c:v>24.128256513026052</c:v>
                </c:pt>
                <c:pt idx="70">
                  <c:v>24.072144288577153</c:v>
                </c:pt>
                <c:pt idx="71">
                  <c:v>24.016032064128257</c:v>
                </c:pt>
                <c:pt idx="72">
                  <c:v>23.959919839679358</c:v>
                </c:pt>
                <c:pt idx="73">
                  <c:v>23.903807615230463</c:v>
                </c:pt>
                <c:pt idx="74">
                  <c:v>23.847695390781563</c:v>
                </c:pt>
                <c:pt idx="75">
                  <c:v>23.791583166332664</c:v>
                </c:pt>
                <c:pt idx="76">
                  <c:v>23.735470941883769</c:v>
                </c:pt>
                <c:pt idx="77">
                  <c:v>23.679358717434869</c:v>
                </c:pt>
                <c:pt idx="78">
                  <c:v>23.62324649298597</c:v>
                </c:pt>
                <c:pt idx="79">
                  <c:v>23.567134268537075</c:v>
                </c:pt>
                <c:pt idx="80">
                  <c:v>23.511022044088175</c:v>
                </c:pt>
                <c:pt idx="81">
                  <c:v>23.45490981963928</c:v>
                </c:pt>
                <c:pt idx="82">
                  <c:v>23.398797595190381</c:v>
                </c:pt>
                <c:pt idx="83">
                  <c:v>23.342685370741485</c:v>
                </c:pt>
                <c:pt idx="84">
                  <c:v>23.286573146292586</c:v>
                </c:pt>
                <c:pt idx="85">
                  <c:v>23.230460921843687</c:v>
                </c:pt>
                <c:pt idx="86">
                  <c:v>23.174348697394791</c:v>
                </c:pt>
                <c:pt idx="87">
                  <c:v>23.118236472945892</c:v>
                </c:pt>
                <c:pt idx="88">
                  <c:v>23.062124248496993</c:v>
                </c:pt>
                <c:pt idx="89">
                  <c:v>23.006012024048097</c:v>
                </c:pt>
                <c:pt idx="90">
                  <c:v>22.949899799599198</c:v>
                </c:pt>
                <c:pt idx="91">
                  <c:v>22.893787575150299</c:v>
                </c:pt>
                <c:pt idx="92">
                  <c:v>22.837675350701403</c:v>
                </c:pt>
                <c:pt idx="93">
                  <c:v>22.781563126252504</c:v>
                </c:pt>
                <c:pt idx="94">
                  <c:v>22.725450901803608</c:v>
                </c:pt>
                <c:pt idx="95">
                  <c:v>22.669338677354709</c:v>
                </c:pt>
                <c:pt idx="96">
                  <c:v>22.613226452905813</c:v>
                </c:pt>
                <c:pt idx="97">
                  <c:v>22.557114228456914</c:v>
                </c:pt>
                <c:pt idx="98">
                  <c:v>22.501002004008015</c:v>
                </c:pt>
                <c:pt idx="99">
                  <c:v>22.444889779559119</c:v>
                </c:pt>
                <c:pt idx="100">
                  <c:v>22.38877755511022</c:v>
                </c:pt>
                <c:pt idx="101">
                  <c:v>22.332665330661321</c:v>
                </c:pt>
                <c:pt idx="102">
                  <c:v>22.276553106212425</c:v>
                </c:pt>
                <c:pt idx="103">
                  <c:v>22.220440881763526</c:v>
                </c:pt>
                <c:pt idx="104">
                  <c:v>22.164328657314627</c:v>
                </c:pt>
                <c:pt idx="105">
                  <c:v>22.108216432865731</c:v>
                </c:pt>
                <c:pt idx="106">
                  <c:v>22.052104208416836</c:v>
                </c:pt>
                <c:pt idx="107">
                  <c:v>21.995991983967937</c:v>
                </c:pt>
                <c:pt idx="108">
                  <c:v>21.939879759519037</c:v>
                </c:pt>
                <c:pt idx="109">
                  <c:v>21.883767535070142</c:v>
                </c:pt>
                <c:pt idx="110">
                  <c:v>21.827655310621243</c:v>
                </c:pt>
                <c:pt idx="111">
                  <c:v>21.771543086172343</c:v>
                </c:pt>
                <c:pt idx="112">
                  <c:v>21.715430861723448</c:v>
                </c:pt>
                <c:pt idx="113">
                  <c:v>21.659318637274549</c:v>
                </c:pt>
                <c:pt idx="114">
                  <c:v>21.603206412825649</c:v>
                </c:pt>
                <c:pt idx="115">
                  <c:v>21.547094188376754</c:v>
                </c:pt>
                <c:pt idx="116">
                  <c:v>21.490981963927855</c:v>
                </c:pt>
                <c:pt idx="117">
                  <c:v>21.434869739478959</c:v>
                </c:pt>
                <c:pt idx="118">
                  <c:v>21.37875751503006</c:v>
                </c:pt>
                <c:pt idx="119">
                  <c:v>21.322645290581164</c:v>
                </c:pt>
                <c:pt idx="120">
                  <c:v>21.266533066132265</c:v>
                </c:pt>
                <c:pt idx="121">
                  <c:v>21.210420841683366</c:v>
                </c:pt>
                <c:pt idx="122">
                  <c:v>21.15430861723447</c:v>
                </c:pt>
                <c:pt idx="123">
                  <c:v>21.098196392785571</c:v>
                </c:pt>
                <c:pt idx="124">
                  <c:v>21.042084168336672</c:v>
                </c:pt>
                <c:pt idx="125">
                  <c:v>20.985971943887776</c:v>
                </c:pt>
                <c:pt idx="126">
                  <c:v>20.929859719438877</c:v>
                </c:pt>
                <c:pt idx="127">
                  <c:v>20.873747494989978</c:v>
                </c:pt>
                <c:pt idx="128">
                  <c:v>20.817635270541082</c:v>
                </c:pt>
                <c:pt idx="129">
                  <c:v>20.761523046092186</c:v>
                </c:pt>
                <c:pt idx="130">
                  <c:v>20.705410821643287</c:v>
                </c:pt>
                <c:pt idx="131">
                  <c:v>20.649298597194388</c:v>
                </c:pt>
                <c:pt idx="132">
                  <c:v>20.593186372745492</c:v>
                </c:pt>
                <c:pt idx="133">
                  <c:v>20.537074148296593</c:v>
                </c:pt>
                <c:pt idx="134">
                  <c:v>20.480961923847694</c:v>
                </c:pt>
                <c:pt idx="135">
                  <c:v>20.424849699398798</c:v>
                </c:pt>
                <c:pt idx="136">
                  <c:v>20.368737474949899</c:v>
                </c:pt>
                <c:pt idx="137">
                  <c:v>20.312625250501</c:v>
                </c:pt>
                <c:pt idx="138">
                  <c:v>20.256513026052104</c:v>
                </c:pt>
                <c:pt idx="139">
                  <c:v>20.200400801603205</c:v>
                </c:pt>
                <c:pt idx="140">
                  <c:v>20.14428857715431</c:v>
                </c:pt>
                <c:pt idx="141">
                  <c:v>20.08817635270541</c:v>
                </c:pt>
                <c:pt idx="142">
                  <c:v>20.032064128256515</c:v>
                </c:pt>
                <c:pt idx="143">
                  <c:v>19.975951903807616</c:v>
                </c:pt>
                <c:pt idx="144">
                  <c:v>19.919839679358716</c:v>
                </c:pt>
                <c:pt idx="145">
                  <c:v>19.863727454909821</c:v>
                </c:pt>
                <c:pt idx="146">
                  <c:v>19.807615230460922</c:v>
                </c:pt>
                <c:pt idx="147">
                  <c:v>19.751503006012022</c:v>
                </c:pt>
                <c:pt idx="148">
                  <c:v>19.695390781563127</c:v>
                </c:pt>
                <c:pt idx="149">
                  <c:v>19.639278557114228</c:v>
                </c:pt>
                <c:pt idx="150">
                  <c:v>19.583166332665328</c:v>
                </c:pt>
                <c:pt idx="151">
                  <c:v>19.527054108216433</c:v>
                </c:pt>
                <c:pt idx="152">
                  <c:v>19.470941883767537</c:v>
                </c:pt>
                <c:pt idx="153">
                  <c:v>19.414829659318638</c:v>
                </c:pt>
                <c:pt idx="154">
                  <c:v>19.358717434869739</c:v>
                </c:pt>
                <c:pt idx="155">
                  <c:v>19.302605210420843</c:v>
                </c:pt>
                <c:pt idx="156">
                  <c:v>19.246492985971944</c:v>
                </c:pt>
                <c:pt idx="157">
                  <c:v>19.190380761523045</c:v>
                </c:pt>
                <c:pt idx="158">
                  <c:v>19.134268537074149</c:v>
                </c:pt>
                <c:pt idx="159">
                  <c:v>19.07815631262525</c:v>
                </c:pt>
                <c:pt idx="160">
                  <c:v>19.022044088176351</c:v>
                </c:pt>
                <c:pt idx="161">
                  <c:v>18.965931863727455</c:v>
                </c:pt>
                <c:pt idx="162">
                  <c:v>18.90981963927856</c:v>
                </c:pt>
                <c:pt idx="163">
                  <c:v>18.853707414829657</c:v>
                </c:pt>
                <c:pt idx="164">
                  <c:v>18.797595190380761</c:v>
                </c:pt>
                <c:pt idx="165">
                  <c:v>18.741482965931866</c:v>
                </c:pt>
                <c:pt idx="166">
                  <c:v>18.685370741482966</c:v>
                </c:pt>
                <c:pt idx="167">
                  <c:v>18.629258517034067</c:v>
                </c:pt>
                <c:pt idx="168">
                  <c:v>18.573146292585172</c:v>
                </c:pt>
                <c:pt idx="169">
                  <c:v>18.517034068136272</c:v>
                </c:pt>
                <c:pt idx="170">
                  <c:v>18.460921843687373</c:v>
                </c:pt>
                <c:pt idx="171">
                  <c:v>18.404809619238478</c:v>
                </c:pt>
                <c:pt idx="172">
                  <c:v>18.348697394789578</c:v>
                </c:pt>
                <c:pt idx="173">
                  <c:v>18.292585170340679</c:v>
                </c:pt>
                <c:pt idx="174">
                  <c:v>18.236472945891784</c:v>
                </c:pt>
                <c:pt idx="175">
                  <c:v>18.180360721442888</c:v>
                </c:pt>
                <c:pt idx="176">
                  <c:v>18.124248496993989</c:v>
                </c:pt>
                <c:pt idx="177">
                  <c:v>18.06813627254509</c:v>
                </c:pt>
                <c:pt idx="178">
                  <c:v>18.012024048096194</c:v>
                </c:pt>
                <c:pt idx="179">
                  <c:v>17.955911823647295</c:v>
                </c:pt>
                <c:pt idx="180">
                  <c:v>17.899799599198396</c:v>
                </c:pt>
                <c:pt idx="181">
                  <c:v>17.8436873747495</c:v>
                </c:pt>
                <c:pt idx="182">
                  <c:v>17.787575150300601</c:v>
                </c:pt>
                <c:pt idx="183">
                  <c:v>17.731462925851702</c:v>
                </c:pt>
                <c:pt idx="184">
                  <c:v>17.675350701402806</c:v>
                </c:pt>
                <c:pt idx="185">
                  <c:v>17.61923847695391</c:v>
                </c:pt>
                <c:pt idx="186">
                  <c:v>17.563126252505008</c:v>
                </c:pt>
                <c:pt idx="187">
                  <c:v>17.507014028056112</c:v>
                </c:pt>
                <c:pt idx="188">
                  <c:v>17.450901803607216</c:v>
                </c:pt>
                <c:pt idx="189">
                  <c:v>17.394789579158317</c:v>
                </c:pt>
                <c:pt idx="190">
                  <c:v>17.338677354709418</c:v>
                </c:pt>
                <c:pt idx="191">
                  <c:v>17.282565130260522</c:v>
                </c:pt>
                <c:pt idx="192">
                  <c:v>17.226452905811623</c:v>
                </c:pt>
                <c:pt idx="193">
                  <c:v>17.170340681362724</c:v>
                </c:pt>
                <c:pt idx="194">
                  <c:v>17.114228456913828</c:v>
                </c:pt>
                <c:pt idx="195">
                  <c:v>17.058116232464929</c:v>
                </c:pt>
                <c:pt idx="196">
                  <c:v>17.00200400801603</c:v>
                </c:pt>
                <c:pt idx="197">
                  <c:v>16.945891783567134</c:v>
                </c:pt>
                <c:pt idx="198">
                  <c:v>16.889779559118239</c:v>
                </c:pt>
                <c:pt idx="199">
                  <c:v>16.833667334669336</c:v>
                </c:pt>
                <c:pt idx="200">
                  <c:v>16.77755511022044</c:v>
                </c:pt>
                <c:pt idx="201">
                  <c:v>16.721442885771545</c:v>
                </c:pt>
                <c:pt idx="202">
                  <c:v>16.665330661322646</c:v>
                </c:pt>
                <c:pt idx="203">
                  <c:v>16.609218436873746</c:v>
                </c:pt>
                <c:pt idx="204">
                  <c:v>16.553106212424851</c:v>
                </c:pt>
                <c:pt idx="205">
                  <c:v>16.496993987975952</c:v>
                </c:pt>
                <c:pt idx="206">
                  <c:v>16.440881763527052</c:v>
                </c:pt>
                <c:pt idx="207">
                  <c:v>16.384769539078157</c:v>
                </c:pt>
                <c:pt idx="208">
                  <c:v>16.328657314629258</c:v>
                </c:pt>
                <c:pt idx="209">
                  <c:v>16.272545090180358</c:v>
                </c:pt>
                <c:pt idx="210">
                  <c:v>16.216432865731463</c:v>
                </c:pt>
                <c:pt idx="211">
                  <c:v>16.160320641282567</c:v>
                </c:pt>
                <c:pt idx="212">
                  <c:v>16.104208416833668</c:v>
                </c:pt>
                <c:pt idx="213">
                  <c:v>16.048096192384769</c:v>
                </c:pt>
                <c:pt idx="214">
                  <c:v>15.991983967935871</c:v>
                </c:pt>
                <c:pt idx="215">
                  <c:v>15.935871743486974</c:v>
                </c:pt>
                <c:pt idx="216">
                  <c:v>15.879759519038076</c:v>
                </c:pt>
                <c:pt idx="217">
                  <c:v>15.823647294589179</c:v>
                </c:pt>
                <c:pt idx="218">
                  <c:v>15.76753507014028</c:v>
                </c:pt>
                <c:pt idx="219">
                  <c:v>15.711422845691382</c:v>
                </c:pt>
                <c:pt idx="220">
                  <c:v>15.655310621242485</c:v>
                </c:pt>
                <c:pt idx="221">
                  <c:v>15.599198396793588</c:v>
                </c:pt>
                <c:pt idx="222">
                  <c:v>15.543086172344688</c:v>
                </c:pt>
                <c:pt idx="223">
                  <c:v>15.486973947895791</c:v>
                </c:pt>
                <c:pt idx="224">
                  <c:v>15.430861723446894</c:v>
                </c:pt>
                <c:pt idx="225">
                  <c:v>15.374749498997996</c:v>
                </c:pt>
                <c:pt idx="226">
                  <c:v>15.318637274549099</c:v>
                </c:pt>
                <c:pt idx="227">
                  <c:v>15.2625250501002</c:v>
                </c:pt>
                <c:pt idx="228">
                  <c:v>15.206412825651302</c:v>
                </c:pt>
                <c:pt idx="229">
                  <c:v>15.150300601202405</c:v>
                </c:pt>
                <c:pt idx="230">
                  <c:v>15.094188376753507</c:v>
                </c:pt>
                <c:pt idx="231">
                  <c:v>15.038076152304608</c:v>
                </c:pt>
                <c:pt idx="232">
                  <c:v>14.981963927855711</c:v>
                </c:pt>
                <c:pt idx="233">
                  <c:v>14.925851703406813</c:v>
                </c:pt>
                <c:pt idx="234">
                  <c:v>14.869739478957916</c:v>
                </c:pt>
                <c:pt idx="235">
                  <c:v>14.813627254509019</c:v>
                </c:pt>
                <c:pt idx="236">
                  <c:v>14.757515030060119</c:v>
                </c:pt>
                <c:pt idx="237">
                  <c:v>14.701402805611222</c:v>
                </c:pt>
                <c:pt idx="238">
                  <c:v>14.645290581162325</c:v>
                </c:pt>
                <c:pt idx="239">
                  <c:v>14.589178356713427</c:v>
                </c:pt>
                <c:pt idx="240">
                  <c:v>14.53306613226453</c:v>
                </c:pt>
                <c:pt idx="241">
                  <c:v>14.476953907815631</c:v>
                </c:pt>
                <c:pt idx="242">
                  <c:v>14.420841683366733</c:v>
                </c:pt>
                <c:pt idx="243">
                  <c:v>14.364729458917836</c:v>
                </c:pt>
                <c:pt idx="244">
                  <c:v>14.308617234468938</c:v>
                </c:pt>
                <c:pt idx="245">
                  <c:v>14.252505010020039</c:v>
                </c:pt>
                <c:pt idx="246">
                  <c:v>14.196392785571142</c:v>
                </c:pt>
                <c:pt idx="247">
                  <c:v>14.140280561122244</c:v>
                </c:pt>
                <c:pt idx="248">
                  <c:v>14.084168336673347</c:v>
                </c:pt>
                <c:pt idx="249">
                  <c:v>14.02805611222445</c:v>
                </c:pt>
                <c:pt idx="250">
                  <c:v>13.97194388777555</c:v>
                </c:pt>
                <c:pt idx="251">
                  <c:v>13.915831663326653</c:v>
                </c:pt>
                <c:pt idx="252">
                  <c:v>13.859719438877756</c:v>
                </c:pt>
                <c:pt idx="253">
                  <c:v>13.803607214428858</c:v>
                </c:pt>
                <c:pt idx="254">
                  <c:v>13.747494989979959</c:v>
                </c:pt>
                <c:pt idx="255">
                  <c:v>13.691382765531062</c:v>
                </c:pt>
                <c:pt idx="256">
                  <c:v>13.635270541082164</c:v>
                </c:pt>
                <c:pt idx="257">
                  <c:v>13.579158316633267</c:v>
                </c:pt>
                <c:pt idx="258">
                  <c:v>13.523046092184369</c:v>
                </c:pt>
                <c:pt idx="259">
                  <c:v>13.46693386773547</c:v>
                </c:pt>
                <c:pt idx="260">
                  <c:v>13.410821643286573</c:v>
                </c:pt>
                <c:pt idx="261">
                  <c:v>13.354709418837675</c:v>
                </c:pt>
                <c:pt idx="262">
                  <c:v>13.298597194388778</c:v>
                </c:pt>
                <c:pt idx="263">
                  <c:v>13.242484969939879</c:v>
                </c:pt>
                <c:pt idx="264">
                  <c:v>13.186372745490981</c:v>
                </c:pt>
                <c:pt idx="265">
                  <c:v>13.130260521042084</c:v>
                </c:pt>
                <c:pt idx="266">
                  <c:v>13.074148296593187</c:v>
                </c:pt>
                <c:pt idx="267">
                  <c:v>13.018036072144289</c:v>
                </c:pt>
                <c:pt idx="268">
                  <c:v>12.96192384769539</c:v>
                </c:pt>
                <c:pt idx="269">
                  <c:v>12.905811623246493</c:v>
                </c:pt>
                <c:pt idx="270">
                  <c:v>12.849699398797595</c:v>
                </c:pt>
                <c:pt idx="271">
                  <c:v>12.793587174348698</c:v>
                </c:pt>
                <c:pt idx="272">
                  <c:v>12.737474949899799</c:v>
                </c:pt>
                <c:pt idx="273">
                  <c:v>12.681362725450901</c:v>
                </c:pt>
                <c:pt idx="274">
                  <c:v>12.625250501002004</c:v>
                </c:pt>
                <c:pt idx="275">
                  <c:v>12.569138276553106</c:v>
                </c:pt>
                <c:pt idx="276">
                  <c:v>12.513026052104209</c:v>
                </c:pt>
                <c:pt idx="277">
                  <c:v>12.45691382765531</c:v>
                </c:pt>
                <c:pt idx="278">
                  <c:v>12.400801603206412</c:v>
                </c:pt>
                <c:pt idx="279">
                  <c:v>12.344689378757515</c:v>
                </c:pt>
                <c:pt idx="280">
                  <c:v>12.288577154308618</c:v>
                </c:pt>
                <c:pt idx="281">
                  <c:v>12.23246492985972</c:v>
                </c:pt>
                <c:pt idx="282">
                  <c:v>12.176352705410821</c:v>
                </c:pt>
                <c:pt idx="283">
                  <c:v>12.120240480961924</c:v>
                </c:pt>
                <c:pt idx="284">
                  <c:v>12.064128256513026</c:v>
                </c:pt>
                <c:pt idx="285">
                  <c:v>12.008016032064129</c:v>
                </c:pt>
                <c:pt idx="286">
                  <c:v>11.951903807615231</c:v>
                </c:pt>
                <c:pt idx="287">
                  <c:v>11.895791583166332</c:v>
                </c:pt>
                <c:pt idx="288">
                  <c:v>11.839679358717433</c:v>
                </c:pt>
                <c:pt idx="289">
                  <c:v>11.783567134268537</c:v>
                </c:pt>
                <c:pt idx="290">
                  <c:v>11.727454909819638</c:v>
                </c:pt>
                <c:pt idx="291">
                  <c:v>11.671342685370742</c:v>
                </c:pt>
                <c:pt idx="292">
                  <c:v>11.615230460921843</c:v>
                </c:pt>
                <c:pt idx="293">
                  <c:v>11.559118236472944</c:v>
                </c:pt>
                <c:pt idx="294">
                  <c:v>11.503006012024048</c:v>
                </c:pt>
                <c:pt idx="295">
                  <c:v>11.446893787575149</c:v>
                </c:pt>
                <c:pt idx="296">
                  <c:v>11.390781563126254</c:v>
                </c:pt>
                <c:pt idx="297">
                  <c:v>11.334669338677354</c:v>
                </c:pt>
                <c:pt idx="298">
                  <c:v>11.278557114228455</c:v>
                </c:pt>
                <c:pt idx="299">
                  <c:v>11.22244488977956</c:v>
                </c:pt>
                <c:pt idx="300">
                  <c:v>11.16633266533066</c:v>
                </c:pt>
                <c:pt idx="301">
                  <c:v>11.110220440881765</c:v>
                </c:pt>
                <c:pt idx="302">
                  <c:v>11.054108216432866</c:v>
                </c:pt>
                <c:pt idx="303">
                  <c:v>10.997995991983966</c:v>
                </c:pt>
                <c:pt idx="304">
                  <c:v>10.941883767535071</c:v>
                </c:pt>
                <c:pt idx="305">
                  <c:v>10.885771543086172</c:v>
                </c:pt>
                <c:pt idx="306">
                  <c:v>10.829659318637276</c:v>
                </c:pt>
                <c:pt idx="307">
                  <c:v>10.773547094188377</c:v>
                </c:pt>
                <c:pt idx="308">
                  <c:v>10.717434869739478</c:v>
                </c:pt>
                <c:pt idx="309">
                  <c:v>10.661322645290582</c:v>
                </c:pt>
                <c:pt idx="310">
                  <c:v>10.605210420841683</c:v>
                </c:pt>
                <c:pt idx="311">
                  <c:v>10.549098196392784</c:v>
                </c:pt>
                <c:pt idx="312">
                  <c:v>10.492985971943888</c:v>
                </c:pt>
                <c:pt idx="313">
                  <c:v>10.436873747494989</c:v>
                </c:pt>
                <c:pt idx="314">
                  <c:v>10.380761523046093</c:v>
                </c:pt>
                <c:pt idx="315">
                  <c:v>10.324649298597194</c:v>
                </c:pt>
                <c:pt idx="316">
                  <c:v>10.268537074148295</c:v>
                </c:pt>
                <c:pt idx="317">
                  <c:v>10.212424849699399</c:v>
                </c:pt>
                <c:pt idx="318">
                  <c:v>10.1563126252505</c:v>
                </c:pt>
                <c:pt idx="319">
                  <c:v>10.100200400801604</c:v>
                </c:pt>
                <c:pt idx="320">
                  <c:v>10.044088176352705</c:v>
                </c:pt>
                <c:pt idx="321">
                  <c:v>9.987975951903806</c:v>
                </c:pt>
                <c:pt idx="322">
                  <c:v>9.9318637274549104</c:v>
                </c:pt>
                <c:pt idx="323">
                  <c:v>9.8757515030060112</c:v>
                </c:pt>
                <c:pt idx="324">
                  <c:v>9.8196392785571156</c:v>
                </c:pt>
                <c:pt idx="325">
                  <c:v>9.7635270541082164</c:v>
                </c:pt>
                <c:pt idx="326">
                  <c:v>9.7074148296593172</c:v>
                </c:pt>
                <c:pt idx="327">
                  <c:v>9.6513026052104216</c:v>
                </c:pt>
                <c:pt idx="328">
                  <c:v>9.5951903807615224</c:v>
                </c:pt>
                <c:pt idx="329">
                  <c:v>9.5390781563126268</c:v>
                </c:pt>
                <c:pt idx="330">
                  <c:v>9.4829659318637276</c:v>
                </c:pt>
                <c:pt idx="331">
                  <c:v>9.4268537074148284</c:v>
                </c:pt>
                <c:pt idx="332">
                  <c:v>9.3707414829659328</c:v>
                </c:pt>
                <c:pt idx="333">
                  <c:v>9.3146292585170336</c:v>
                </c:pt>
                <c:pt idx="334">
                  <c:v>9.2585170340681344</c:v>
                </c:pt>
                <c:pt idx="335">
                  <c:v>9.2024048096192388</c:v>
                </c:pt>
                <c:pt idx="336">
                  <c:v>9.1462925851703396</c:v>
                </c:pt>
                <c:pt idx="337">
                  <c:v>9.090180360721444</c:v>
                </c:pt>
                <c:pt idx="338">
                  <c:v>9.0340681362725448</c:v>
                </c:pt>
                <c:pt idx="339">
                  <c:v>8.9779559118236456</c:v>
                </c:pt>
                <c:pt idx="340">
                  <c:v>8.92184368737475</c:v>
                </c:pt>
                <c:pt idx="341">
                  <c:v>8.8657314629258508</c:v>
                </c:pt>
                <c:pt idx="342">
                  <c:v>8.8096192384769552</c:v>
                </c:pt>
                <c:pt idx="343">
                  <c:v>8.753507014028056</c:v>
                </c:pt>
                <c:pt idx="344">
                  <c:v>8.6973947895791568</c:v>
                </c:pt>
                <c:pt idx="345">
                  <c:v>8.6412825651302612</c:v>
                </c:pt>
                <c:pt idx="346">
                  <c:v>8.585170340681362</c:v>
                </c:pt>
                <c:pt idx="347">
                  <c:v>8.5290581162324663</c:v>
                </c:pt>
                <c:pt idx="348">
                  <c:v>8.4729458917835672</c:v>
                </c:pt>
                <c:pt idx="349">
                  <c:v>8.416833667334668</c:v>
                </c:pt>
                <c:pt idx="350">
                  <c:v>8.3607214428857723</c:v>
                </c:pt>
                <c:pt idx="351">
                  <c:v>8.3046092184368732</c:v>
                </c:pt>
                <c:pt idx="352">
                  <c:v>8.2484969939879775</c:v>
                </c:pt>
                <c:pt idx="353">
                  <c:v>8.1923847695390783</c:v>
                </c:pt>
                <c:pt idx="354">
                  <c:v>8.1362725450901792</c:v>
                </c:pt>
                <c:pt idx="355">
                  <c:v>8.0801603206412835</c:v>
                </c:pt>
                <c:pt idx="356">
                  <c:v>8.0240480961923843</c:v>
                </c:pt>
                <c:pt idx="357">
                  <c:v>7.9679358717434852</c:v>
                </c:pt>
                <c:pt idx="358">
                  <c:v>7.9118236472945895</c:v>
                </c:pt>
                <c:pt idx="359">
                  <c:v>7.8557114228456904</c:v>
                </c:pt>
                <c:pt idx="360">
                  <c:v>7.7995991983967947</c:v>
                </c:pt>
                <c:pt idx="361">
                  <c:v>7.7434869739478955</c:v>
                </c:pt>
                <c:pt idx="362">
                  <c:v>7.6873747494989964</c:v>
                </c:pt>
                <c:pt idx="363">
                  <c:v>7.6312625250501007</c:v>
                </c:pt>
                <c:pt idx="364">
                  <c:v>7.5751503006012015</c:v>
                </c:pt>
                <c:pt idx="365">
                  <c:v>7.5190380761523059</c:v>
                </c:pt>
                <c:pt idx="366">
                  <c:v>7.4629258517034067</c:v>
                </c:pt>
                <c:pt idx="367">
                  <c:v>7.4068136272545075</c:v>
                </c:pt>
                <c:pt idx="368">
                  <c:v>7.3507014028056119</c:v>
                </c:pt>
                <c:pt idx="369">
                  <c:v>7.2945891783567127</c:v>
                </c:pt>
                <c:pt idx="370">
                  <c:v>7.2384769539078171</c:v>
                </c:pt>
                <c:pt idx="371">
                  <c:v>7.1823647294589179</c:v>
                </c:pt>
                <c:pt idx="372">
                  <c:v>7.1262525050100187</c:v>
                </c:pt>
                <c:pt idx="373">
                  <c:v>7.0701402805611231</c:v>
                </c:pt>
                <c:pt idx="374">
                  <c:v>7.0140280561122239</c:v>
                </c:pt>
                <c:pt idx="375">
                  <c:v>6.9579158316633247</c:v>
                </c:pt>
                <c:pt idx="376">
                  <c:v>6.9018036072144291</c:v>
                </c:pt>
                <c:pt idx="377">
                  <c:v>6.8456913827655299</c:v>
                </c:pt>
                <c:pt idx="378">
                  <c:v>6.7895791583166343</c:v>
                </c:pt>
                <c:pt idx="379">
                  <c:v>6.7334669338677351</c:v>
                </c:pt>
                <c:pt idx="380">
                  <c:v>6.6773547094188359</c:v>
                </c:pt>
                <c:pt idx="381">
                  <c:v>6.6212424849699403</c:v>
                </c:pt>
                <c:pt idx="382">
                  <c:v>6.5651302605210411</c:v>
                </c:pt>
                <c:pt idx="383">
                  <c:v>6.5090180360721455</c:v>
                </c:pt>
                <c:pt idx="384">
                  <c:v>6.4529058116232463</c:v>
                </c:pt>
                <c:pt idx="385">
                  <c:v>6.3967935871743471</c:v>
                </c:pt>
                <c:pt idx="386">
                  <c:v>6.3406813627254515</c:v>
                </c:pt>
                <c:pt idx="387">
                  <c:v>6.2845691382765523</c:v>
                </c:pt>
                <c:pt idx="388">
                  <c:v>6.2284569138276566</c:v>
                </c:pt>
                <c:pt idx="389">
                  <c:v>6.1723446893787575</c:v>
                </c:pt>
                <c:pt idx="390">
                  <c:v>6.1162324649298583</c:v>
                </c:pt>
                <c:pt idx="391">
                  <c:v>6.0601202404809627</c:v>
                </c:pt>
                <c:pt idx="392">
                  <c:v>6.0040080160320635</c:v>
                </c:pt>
                <c:pt idx="393">
                  <c:v>5.9478957915831678</c:v>
                </c:pt>
                <c:pt idx="394">
                  <c:v>5.8917835671342687</c:v>
                </c:pt>
                <c:pt idx="395">
                  <c:v>5.8356713426853695</c:v>
                </c:pt>
                <c:pt idx="396">
                  <c:v>5.7795591182364738</c:v>
                </c:pt>
                <c:pt idx="397">
                  <c:v>5.7234468937875747</c:v>
                </c:pt>
                <c:pt idx="398">
                  <c:v>5.6673346693386755</c:v>
                </c:pt>
                <c:pt idx="399">
                  <c:v>5.6112224448897798</c:v>
                </c:pt>
                <c:pt idx="400">
                  <c:v>5.5551102204408807</c:v>
                </c:pt>
                <c:pt idx="401">
                  <c:v>5.498997995991985</c:v>
                </c:pt>
                <c:pt idx="402">
                  <c:v>5.4428857715430858</c:v>
                </c:pt>
                <c:pt idx="403">
                  <c:v>5.3867735470941867</c:v>
                </c:pt>
                <c:pt idx="404">
                  <c:v>5.330661322645291</c:v>
                </c:pt>
                <c:pt idx="405">
                  <c:v>5.2745490981963918</c:v>
                </c:pt>
                <c:pt idx="406">
                  <c:v>5.2184368737474962</c:v>
                </c:pt>
                <c:pt idx="407">
                  <c:v>5.162324649298597</c:v>
                </c:pt>
                <c:pt idx="408">
                  <c:v>5.1062124248496978</c:v>
                </c:pt>
                <c:pt idx="409">
                  <c:v>5.0501002004008022</c:v>
                </c:pt>
                <c:pt idx="410">
                  <c:v>4.993987975951903</c:v>
                </c:pt>
                <c:pt idx="411">
                  <c:v>4.9378757515030074</c:v>
                </c:pt>
                <c:pt idx="412">
                  <c:v>4.8817635270541082</c:v>
                </c:pt>
                <c:pt idx="413">
                  <c:v>4.825651302605209</c:v>
                </c:pt>
                <c:pt idx="414">
                  <c:v>4.7695390781563134</c:v>
                </c:pt>
                <c:pt idx="415">
                  <c:v>4.7134268537074142</c:v>
                </c:pt>
                <c:pt idx="416">
                  <c:v>4.657314629258515</c:v>
                </c:pt>
                <c:pt idx="417">
                  <c:v>4.6012024048096194</c:v>
                </c:pt>
                <c:pt idx="418">
                  <c:v>4.5450901803607202</c:v>
                </c:pt>
                <c:pt idx="419">
                  <c:v>4.4889779559118246</c:v>
                </c:pt>
                <c:pt idx="420">
                  <c:v>4.4328657314629254</c:v>
                </c:pt>
                <c:pt idx="421">
                  <c:v>4.3767535070140262</c:v>
                </c:pt>
                <c:pt idx="422">
                  <c:v>4.3206412825651306</c:v>
                </c:pt>
                <c:pt idx="423">
                  <c:v>4.2645290581162314</c:v>
                </c:pt>
                <c:pt idx="424">
                  <c:v>4.2084168336673358</c:v>
                </c:pt>
                <c:pt idx="425">
                  <c:v>4.1523046092184366</c:v>
                </c:pt>
                <c:pt idx="426">
                  <c:v>4.0961923847695374</c:v>
                </c:pt>
                <c:pt idx="427">
                  <c:v>4.0400801603206418</c:v>
                </c:pt>
                <c:pt idx="428">
                  <c:v>3.9839679358717426</c:v>
                </c:pt>
                <c:pt idx="429">
                  <c:v>3.927855711422847</c:v>
                </c:pt>
                <c:pt idx="430">
                  <c:v>3.8717434869739478</c:v>
                </c:pt>
                <c:pt idx="431">
                  <c:v>3.8156312625250486</c:v>
                </c:pt>
                <c:pt idx="432">
                  <c:v>3.759519038076153</c:v>
                </c:pt>
                <c:pt idx="433">
                  <c:v>3.7034068136272538</c:v>
                </c:pt>
                <c:pt idx="434">
                  <c:v>3.6472945891783581</c:v>
                </c:pt>
                <c:pt idx="435">
                  <c:v>3.591182364729459</c:v>
                </c:pt>
                <c:pt idx="436">
                  <c:v>3.5350701402805598</c:v>
                </c:pt>
                <c:pt idx="437">
                  <c:v>3.4789579158316641</c:v>
                </c:pt>
                <c:pt idx="438">
                  <c:v>3.422845691382765</c:v>
                </c:pt>
                <c:pt idx="439">
                  <c:v>3.3667334669338658</c:v>
                </c:pt>
                <c:pt idx="440">
                  <c:v>3.3106212424849701</c:v>
                </c:pt>
                <c:pt idx="441">
                  <c:v>3.254509018036071</c:v>
                </c:pt>
                <c:pt idx="442">
                  <c:v>3.1983967935871753</c:v>
                </c:pt>
                <c:pt idx="443">
                  <c:v>3.1422845691382761</c:v>
                </c:pt>
                <c:pt idx="444">
                  <c:v>3.086172344689377</c:v>
                </c:pt>
                <c:pt idx="445">
                  <c:v>3.0300601202404813</c:v>
                </c:pt>
                <c:pt idx="446">
                  <c:v>2.9739478957915821</c:v>
                </c:pt>
                <c:pt idx="447">
                  <c:v>2.9178356713426865</c:v>
                </c:pt>
                <c:pt idx="448">
                  <c:v>2.8617234468937873</c:v>
                </c:pt>
                <c:pt idx="449">
                  <c:v>2.8056112224448881</c:v>
                </c:pt>
                <c:pt idx="450">
                  <c:v>2.7494989979959925</c:v>
                </c:pt>
                <c:pt idx="451">
                  <c:v>2.6933867735470933</c:v>
                </c:pt>
                <c:pt idx="452">
                  <c:v>2.6372745490981977</c:v>
                </c:pt>
                <c:pt idx="453">
                  <c:v>2.5811623246492985</c:v>
                </c:pt>
                <c:pt idx="454">
                  <c:v>2.5250501002003993</c:v>
                </c:pt>
                <c:pt idx="455">
                  <c:v>2.4689378757515037</c:v>
                </c:pt>
                <c:pt idx="456">
                  <c:v>2.4128256513026045</c:v>
                </c:pt>
                <c:pt idx="457">
                  <c:v>2.3567134268537089</c:v>
                </c:pt>
                <c:pt idx="458">
                  <c:v>2.3006012024048097</c:v>
                </c:pt>
                <c:pt idx="459">
                  <c:v>2.2444889779559105</c:v>
                </c:pt>
                <c:pt idx="460">
                  <c:v>2.1883767535070149</c:v>
                </c:pt>
                <c:pt idx="461">
                  <c:v>2.1322645290581157</c:v>
                </c:pt>
                <c:pt idx="462">
                  <c:v>2.0761523046092165</c:v>
                </c:pt>
                <c:pt idx="463">
                  <c:v>2.0200400801603209</c:v>
                </c:pt>
                <c:pt idx="464">
                  <c:v>1.9639278557114217</c:v>
                </c:pt>
                <c:pt idx="465">
                  <c:v>1.9078156312625261</c:v>
                </c:pt>
                <c:pt idx="466">
                  <c:v>1.8517034068136269</c:v>
                </c:pt>
                <c:pt idx="467">
                  <c:v>1.7955911823647277</c:v>
                </c:pt>
                <c:pt idx="468">
                  <c:v>1.7394789579158321</c:v>
                </c:pt>
                <c:pt idx="469">
                  <c:v>1.6833667334669329</c:v>
                </c:pt>
                <c:pt idx="470">
                  <c:v>1.6272545090180373</c:v>
                </c:pt>
                <c:pt idx="471">
                  <c:v>1.5711422845691381</c:v>
                </c:pt>
                <c:pt idx="472">
                  <c:v>1.5150300601202389</c:v>
                </c:pt>
                <c:pt idx="473">
                  <c:v>1.4589178356713433</c:v>
                </c:pt>
                <c:pt idx="474">
                  <c:v>1.4028056112224441</c:v>
                </c:pt>
                <c:pt idx="475">
                  <c:v>1.3466933867735484</c:v>
                </c:pt>
                <c:pt idx="476">
                  <c:v>1.2905811623246493</c:v>
                </c:pt>
                <c:pt idx="477">
                  <c:v>1.2344689378757501</c:v>
                </c:pt>
                <c:pt idx="478">
                  <c:v>1.1783567134268544</c:v>
                </c:pt>
                <c:pt idx="479">
                  <c:v>1.1222444889779553</c:v>
                </c:pt>
                <c:pt idx="480">
                  <c:v>1.0661322645290596</c:v>
                </c:pt>
                <c:pt idx="481">
                  <c:v>1.0100200400801604</c:v>
                </c:pt>
                <c:pt idx="482">
                  <c:v>0.95390781563126126</c:v>
                </c:pt>
                <c:pt idx="483">
                  <c:v>0.89779559118236563</c:v>
                </c:pt>
                <c:pt idx="484">
                  <c:v>0.84168336673346644</c:v>
                </c:pt>
                <c:pt idx="485">
                  <c:v>0.78557114228456726</c:v>
                </c:pt>
                <c:pt idx="486">
                  <c:v>0.72945891783567163</c:v>
                </c:pt>
                <c:pt idx="487">
                  <c:v>0.67334669338677244</c:v>
                </c:pt>
                <c:pt idx="488">
                  <c:v>0.61723446893787681</c:v>
                </c:pt>
                <c:pt idx="489">
                  <c:v>0.56112224448897763</c:v>
                </c:pt>
                <c:pt idx="490">
                  <c:v>0.50501002004007844</c:v>
                </c:pt>
                <c:pt idx="491">
                  <c:v>0.44889779559118281</c:v>
                </c:pt>
                <c:pt idx="492">
                  <c:v>0.39278557114228363</c:v>
                </c:pt>
                <c:pt idx="493">
                  <c:v>0.336673346693388</c:v>
                </c:pt>
                <c:pt idx="494">
                  <c:v>0.28056112224448881</c:v>
                </c:pt>
                <c:pt idx="495">
                  <c:v>0.22444889779558963</c:v>
                </c:pt>
                <c:pt idx="496">
                  <c:v>0.168336673346694</c:v>
                </c:pt>
                <c:pt idx="497">
                  <c:v>0.11222444889779482</c:v>
                </c:pt>
                <c:pt idx="498">
                  <c:v>5.6112224448899184E-2</c:v>
                </c:pt>
                <c:pt idx="499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Main!$F$512:$F$1011</c:f>
              <c:numCache>
                <c:formatCode>General</c:formatCode>
                <c:ptCount val="500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EBD-4BB9-8C90-5D9AC351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  <c:extLst/>
      </c:scatterChart>
      <c:valAx>
        <c:axId val="688005087"/>
        <c:scaling>
          <c:orientation val="minMax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反射光の角度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At val="0"/>
        <c:crossBetween val="midCat"/>
      </c:valAx>
      <c:valAx>
        <c:axId val="841614639"/>
        <c:scaling>
          <c:orientation val="minMax"/>
          <c:max val="19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入射光の角度</a:t>
                </a:r>
                <a:r>
                  <a:rPr lang="en-US" altLang="ja-JP" sz="1500"/>
                  <a:t>b[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5756</xdr:colOff>
      <xdr:row>47</xdr:row>
      <xdr:rowOff>205972</xdr:rowOff>
    </xdr:from>
    <xdr:to>
      <xdr:col>22</xdr:col>
      <xdr:colOff>45130</xdr:colOff>
      <xdr:row>78</xdr:row>
      <xdr:rowOff>203810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1898</xdr:colOff>
      <xdr:row>28</xdr:row>
      <xdr:rowOff>68159</xdr:rowOff>
    </xdr:from>
    <xdr:to>
      <xdr:col>22</xdr:col>
      <xdr:colOff>42201</xdr:colOff>
      <xdr:row>47</xdr:row>
      <xdr:rowOff>131885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106176</xdr:colOff>
      <xdr:row>28</xdr:row>
      <xdr:rowOff>65653</xdr:rowOff>
    </xdr:from>
    <xdr:to>
      <xdr:col>30</xdr:col>
      <xdr:colOff>365956</xdr:colOff>
      <xdr:row>47</xdr:row>
      <xdr:rowOff>127895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47AFE90-D677-472E-A87B-9FC4ECCD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6044</xdr:colOff>
      <xdr:row>0</xdr:row>
      <xdr:rowOff>73269</xdr:rowOff>
    </xdr:from>
    <xdr:to>
      <xdr:col>29</xdr:col>
      <xdr:colOff>9819</xdr:colOff>
      <xdr:row>28</xdr:row>
      <xdr:rowOff>30601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A8770A3-81E8-5DFA-2E48-58AB63C4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1044" y="73269"/>
          <a:ext cx="11748002" cy="6556095"/>
        </a:xfrm>
        <a:prstGeom prst="rect">
          <a:avLst/>
        </a:prstGeom>
      </xdr:spPr>
    </xdr:pic>
    <xdr:clientData/>
  </xdr:twoCellAnchor>
  <xdr:twoCellAnchor>
    <xdr:from>
      <xdr:col>22</xdr:col>
      <xdr:colOff>106335</xdr:colOff>
      <xdr:row>47</xdr:row>
      <xdr:rowOff>201585</xdr:rowOff>
    </xdr:from>
    <xdr:to>
      <xdr:col>30</xdr:col>
      <xdr:colOff>366115</xdr:colOff>
      <xdr:row>67</xdr:row>
      <xdr:rowOff>29175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DBCC161-2176-4E77-BF64-5538B7ACA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L511"/>
  <sheetViews>
    <sheetView tabSelected="1" topLeftCell="A2" zoomScale="40" zoomScaleNormal="120" workbookViewId="0">
      <selection activeCell="B3" sqref="B3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25" customWidth="1"/>
    <col min="9" max="9" width="10.125" customWidth="1"/>
    <col min="10" max="10" width="9.25" customWidth="1"/>
    <col min="11" max="11" width="8.75" customWidth="1"/>
    <col min="12" max="12" width="9.125" customWidth="1"/>
    <col min="13" max="13" width="8.375" customWidth="1"/>
    <col min="29" max="29" width="10.5" customWidth="1"/>
    <col min="30" max="30" width="8" customWidth="1"/>
  </cols>
  <sheetData>
    <row r="1" spans="1:12" x14ac:dyDescent="0.4">
      <c r="A1" s="1" t="s">
        <v>1</v>
      </c>
      <c r="D1" s="1"/>
      <c r="E1" s="1" t="s">
        <v>27</v>
      </c>
    </row>
    <row r="2" spans="1:12" x14ac:dyDescent="0.4">
      <c r="A2" t="s">
        <v>7</v>
      </c>
      <c r="B2">
        <v>500</v>
      </c>
      <c r="C2" t="s">
        <v>18</v>
      </c>
      <c r="E2" t="s">
        <v>30</v>
      </c>
    </row>
    <row r="3" spans="1:12" x14ac:dyDescent="0.4">
      <c r="A3" t="s">
        <v>13</v>
      </c>
      <c r="B3">
        <v>28</v>
      </c>
      <c r="C3" t="s">
        <v>17</v>
      </c>
      <c r="E3" t="s">
        <v>26</v>
      </c>
      <c r="F3">
        <f>90/$B$3^2</f>
        <v>0.11479591836734694</v>
      </c>
    </row>
    <row r="4" spans="1:12" x14ac:dyDescent="0.4">
      <c r="A4" s="2" t="s">
        <v>14</v>
      </c>
      <c r="B4">
        <v>90</v>
      </c>
      <c r="C4" t="s">
        <v>12</v>
      </c>
      <c r="E4" t="s">
        <v>29</v>
      </c>
      <c r="F4">
        <v>0</v>
      </c>
      <c r="G4" s="3" t="s">
        <v>28</v>
      </c>
      <c r="H4">
        <f>90/$B$3^2</f>
        <v>0.11479591836734694</v>
      </c>
    </row>
    <row r="5" spans="1:12" x14ac:dyDescent="0.4">
      <c r="A5" s="2" t="s">
        <v>23</v>
      </c>
      <c r="B5">
        <v>2</v>
      </c>
      <c r="C5" t="s">
        <v>24</v>
      </c>
      <c r="E5" s="2"/>
    </row>
    <row r="6" spans="1:12" x14ac:dyDescent="0.4">
      <c r="A6" t="s">
        <v>4</v>
      </c>
      <c r="B6">
        <f>23</f>
        <v>23</v>
      </c>
      <c r="C6" t="s">
        <v>10</v>
      </c>
      <c r="E6" s="2"/>
    </row>
    <row r="7" spans="1:12" x14ac:dyDescent="0.4">
      <c r="A7" t="s">
        <v>0</v>
      </c>
      <c r="B7">
        <f>B6*TAN(RADIANS(90-$B$3))</f>
        <v>43.256708702965632</v>
      </c>
      <c r="C7" t="s">
        <v>11</v>
      </c>
      <c r="E7" s="2"/>
    </row>
    <row r="10" spans="1:12" x14ac:dyDescent="0.4">
      <c r="A10" s="1" t="s">
        <v>2</v>
      </c>
      <c r="J10" s="1" t="s">
        <v>19</v>
      </c>
    </row>
    <row r="11" spans="1:12" x14ac:dyDescent="0.4">
      <c r="A11" t="s">
        <v>3</v>
      </c>
      <c r="B11" t="s">
        <v>15</v>
      </c>
      <c r="C11" t="s">
        <v>25</v>
      </c>
      <c r="D11" t="s">
        <v>16</v>
      </c>
      <c r="E11" t="s">
        <v>8</v>
      </c>
      <c r="F11" t="s">
        <v>5</v>
      </c>
      <c r="G11" t="s">
        <v>6</v>
      </c>
      <c r="H11" t="s">
        <v>9</v>
      </c>
      <c r="J11" t="s">
        <v>20</v>
      </c>
      <c r="K11" t="s">
        <v>21</v>
      </c>
      <c r="L11" t="s">
        <v>22</v>
      </c>
    </row>
    <row r="12" spans="1:12" x14ac:dyDescent="0.4">
      <c r="A12" cm="1">
        <f t="array" ref="A12:A511">_xlfn.SEQUENCE(B2,1,0,1)</f>
        <v>0</v>
      </c>
      <c r="B12">
        <f t="shared" ref="B12:B75" si="0">IF(A12="",NA(),-$B$3/($B$2-1)*A12+$B$3)</f>
        <v>28</v>
      </c>
      <c r="C12">
        <f>SIN(RADIANS(B12))</f>
        <v>0.46947156278589081</v>
      </c>
      <c r="D12">
        <f xml:space="preserve"> IF(A12="", NA(), MEDIAN(90, 180, $F$3*B12^2 - ((90+$F$3*$B$3^2)/$B$3)*B12 + 180))</f>
        <v>90</v>
      </c>
      <c r="E12">
        <f t="shared" ref="E12:E75" si="1">IFERROR(90-(B12+D12)/2,IF($B$2-1=A12,E11,NA()))</f>
        <v>31</v>
      </c>
      <c r="F12">
        <f>B6</f>
        <v>23</v>
      </c>
      <c r="G12">
        <f>B7</f>
        <v>43.256708702965632</v>
      </c>
      <c r="H12">
        <f t="shared" ref="H12:H75" si="2">IF(A12="",NA(),F12-G12/TAN(RADIANS(270-D12)))</f>
        <v>3.530732012896512E+17</v>
      </c>
      <c r="J12">
        <f t="shared" ref="J12:J75" si="3">IF(A12="",NA(),F12/10)</f>
        <v>2.2999999999999998</v>
      </c>
      <c r="K12">
        <f t="shared" ref="K12:K75" si="4">IF(A12="",NA(),G12/10)</f>
        <v>4.3256708702965634</v>
      </c>
      <c r="L12">
        <v>0</v>
      </c>
    </row>
    <row r="13" spans="1:12" x14ac:dyDescent="0.4">
      <c r="A13">
        <v>1</v>
      </c>
      <c r="B13">
        <f t="shared" si="0"/>
        <v>27.943887775551101</v>
      </c>
      <c r="C13">
        <f t="shared" ref="C13:C75" si="5">SIN(RADIANS(B13))</f>
        <v>0.46860662918221885</v>
      </c>
      <c r="D13">
        <f t="shared" ref="D13:D76" si="6" xml:space="preserve"> IF(A13="", NA(), MEDIAN(90, 180, $F$3*B13^2 - ((90+$F$3*$B$3^2)/$B$3)*B13 + 180))</f>
        <v>90.000361444331531</v>
      </c>
      <c r="E13">
        <f t="shared" si="1"/>
        <v>31.027875390058682</v>
      </c>
      <c r="F13">
        <f t="shared" ref="F13:F76" si="7">IFERROR(F12*(TAN(RADIANS(E12))-TAN(RADIANS(90-B12)))/(TAN(RADIANS(E12))-TAN(RADIANS(90-B13))),IF($B$2-1=A13,0,NA()))</f>
        <v>22.920279040790408</v>
      </c>
      <c r="G13">
        <f t="shared" ref="G13:G76" si="8">IFERROR(TAN(RADIANS(90-B13))*F13,IF($B$2-1=A13,G12,NA()))</f>
        <v>43.208807518065491</v>
      </c>
      <c r="H13">
        <f t="shared" si="2"/>
        <v>6849438.1483569471</v>
      </c>
      <c r="J13">
        <f t="shared" si="3"/>
        <v>2.292027904079041</v>
      </c>
      <c r="K13">
        <f t="shared" si="4"/>
        <v>4.3208807518065493</v>
      </c>
      <c r="L13">
        <v>0</v>
      </c>
    </row>
    <row r="14" spans="1:12" x14ac:dyDescent="0.4">
      <c r="A14">
        <v>2</v>
      </c>
      <c r="B14">
        <f t="shared" si="0"/>
        <v>27.887775551102205</v>
      </c>
      <c r="C14">
        <f t="shared" si="5"/>
        <v>0.4677412461319464</v>
      </c>
      <c r="D14">
        <f t="shared" si="6"/>
        <v>90.001445777326182</v>
      </c>
      <c r="E14">
        <f t="shared" si="1"/>
        <v>31.055389335785804</v>
      </c>
      <c r="F14">
        <f t="shared" si="7"/>
        <v>22.840776099730491</v>
      </c>
      <c r="G14">
        <f t="shared" si="8"/>
        <v>43.160984672112505</v>
      </c>
      <c r="H14">
        <f t="shared" si="2"/>
        <v>1710481.4404694617</v>
      </c>
      <c r="J14">
        <f t="shared" si="3"/>
        <v>2.2840776099730489</v>
      </c>
      <c r="K14">
        <f t="shared" si="4"/>
        <v>4.3160984672112503</v>
      </c>
      <c r="L14">
        <v>0</v>
      </c>
    </row>
    <row r="15" spans="1:12" x14ac:dyDescent="0.4">
      <c r="A15">
        <v>3</v>
      </c>
      <c r="B15">
        <f t="shared" si="0"/>
        <v>27.831663326653306</v>
      </c>
      <c r="C15">
        <f t="shared" si="5"/>
        <v>0.46687541446507325</v>
      </c>
      <c r="D15">
        <f t="shared" si="6"/>
        <v>90.003252998983939</v>
      </c>
      <c r="E15">
        <f t="shared" si="1"/>
        <v>31.082541837181381</v>
      </c>
      <c r="F15">
        <f t="shared" si="7"/>
        <v>22.76149091752621</v>
      </c>
      <c r="G15">
        <f t="shared" si="8"/>
        <v>43.113240948562442</v>
      </c>
      <c r="H15">
        <f t="shared" si="2"/>
        <v>759385.66231532511</v>
      </c>
      <c r="J15">
        <f t="shared" si="3"/>
        <v>2.2761490917526208</v>
      </c>
      <c r="K15">
        <f t="shared" si="4"/>
        <v>4.3113240948562446</v>
      </c>
      <c r="L15">
        <v>0</v>
      </c>
    </row>
    <row r="16" spans="1:12" x14ac:dyDescent="0.4">
      <c r="A16">
        <v>4</v>
      </c>
      <c r="B16">
        <f t="shared" si="0"/>
        <v>27.77555110220441</v>
      </c>
      <c r="C16">
        <f t="shared" si="5"/>
        <v>0.46600913501202967</v>
      </c>
      <c r="D16">
        <f t="shared" si="6"/>
        <v>90.005783109304787</v>
      </c>
      <c r="E16">
        <f t="shared" si="1"/>
        <v>31.109332894245398</v>
      </c>
      <c r="F16">
        <f t="shared" si="7"/>
        <v>22.682423228505854</v>
      </c>
      <c r="G16">
        <f t="shared" si="8"/>
        <v>43.065577122283862</v>
      </c>
      <c r="H16">
        <f t="shared" si="2"/>
        <v>426692.08688623749</v>
      </c>
      <c r="J16">
        <f t="shared" si="3"/>
        <v>2.2682423228505852</v>
      </c>
      <c r="K16">
        <f t="shared" si="4"/>
        <v>4.3065577122283862</v>
      </c>
      <c r="L16">
        <v>0</v>
      </c>
    </row>
    <row r="17" spans="1:12" x14ac:dyDescent="0.4">
      <c r="A17">
        <v>5</v>
      </c>
      <c r="B17">
        <f t="shared" si="0"/>
        <v>27.719438877755511</v>
      </c>
      <c r="C17">
        <f t="shared" si="5"/>
        <v>0.46514240860367523</v>
      </c>
      <c r="D17">
        <f t="shared" si="6"/>
        <v>90.009036108288711</v>
      </c>
      <c r="E17">
        <f t="shared" si="1"/>
        <v>31.13576250697789</v>
      </c>
      <c r="F17">
        <f t="shared" si="7"/>
        <v>22.60357276067792</v>
      </c>
      <c r="G17">
        <f t="shared" si="8"/>
        <v>43.01799395956548</v>
      </c>
      <c r="H17">
        <f t="shared" si="2"/>
        <v>272789.30775739125</v>
      </c>
      <c r="J17">
        <f t="shared" si="3"/>
        <v>2.2603572760677921</v>
      </c>
      <c r="K17">
        <f t="shared" si="4"/>
        <v>4.3017993959565484</v>
      </c>
      <c r="L17">
        <v>0</v>
      </c>
    </row>
    <row r="18" spans="1:12" x14ac:dyDescent="0.4">
      <c r="A18">
        <v>6</v>
      </c>
      <c r="B18">
        <f t="shared" si="0"/>
        <v>27.663326653306612</v>
      </c>
      <c r="C18">
        <f t="shared" si="5"/>
        <v>0.46427523607129828</v>
      </c>
      <c r="D18">
        <f t="shared" si="6"/>
        <v>90.013011995935756</v>
      </c>
      <c r="E18">
        <f t="shared" si="1"/>
        <v>31.161830675378816</v>
      </c>
      <c r="F18">
        <f t="shared" si="7"/>
        <v>22.524939235789308</v>
      </c>
      <c r="G18">
        <f t="shared" si="8"/>
        <v>42.970492218124519</v>
      </c>
      <c r="H18">
        <f t="shared" si="2"/>
        <v>189234.68097779402</v>
      </c>
      <c r="J18">
        <f t="shared" si="3"/>
        <v>2.252493923578931</v>
      </c>
      <c r="K18">
        <f t="shared" si="4"/>
        <v>4.2970492218124523</v>
      </c>
      <c r="L18">
        <v>0</v>
      </c>
    </row>
    <row r="19" spans="1:12" x14ac:dyDescent="0.4">
      <c r="A19">
        <v>7</v>
      </c>
      <c r="B19">
        <f t="shared" si="0"/>
        <v>27.607214428857716</v>
      </c>
      <c r="C19">
        <f t="shared" si="5"/>
        <v>0.46340761824661525</v>
      </c>
      <c r="D19">
        <f t="shared" si="6"/>
        <v>90.017710772245891</v>
      </c>
      <c r="E19">
        <f t="shared" si="1"/>
        <v>31.187537399448196</v>
      </c>
      <c r="F19">
        <f t="shared" si="7"/>
        <v>22.446522369383718</v>
      </c>
      <c r="G19">
        <f t="shared" si="8"/>
        <v>42.92307264711593</v>
      </c>
      <c r="H19">
        <f t="shared" si="2"/>
        <v>138882.05094506481</v>
      </c>
      <c r="J19">
        <f t="shared" si="3"/>
        <v>2.2446522369383719</v>
      </c>
      <c r="K19">
        <f t="shared" si="4"/>
        <v>4.2923072647115932</v>
      </c>
      <c r="L19">
        <v>0</v>
      </c>
    </row>
    <row r="20" spans="1:12" x14ac:dyDescent="0.4">
      <c r="A20">
        <v>8</v>
      </c>
      <c r="B20">
        <f t="shared" si="0"/>
        <v>27.551102204408817</v>
      </c>
      <c r="C20">
        <f t="shared" si="5"/>
        <v>0.46253955596176932</v>
      </c>
      <c r="D20">
        <f t="shared" si="6"/>
        <v>90.023132437219132</v>
      </c>
      <c r="E20">
        <f t="shared" si="1"/>
        <v>31.212882679186023</v>
      </c>
      <c r="F20">
        <f t="shared" si="7"/>
        <v>22.368321870860342</v>
      </c>
      <c r="G20">
        <f t="shared" si="8"/>
        <v>42.875735987142676</v>
      </c>
      <c r="H20">
        <f t="shared" si="2"/>
        <v>106219.5043533899</v>
      </c>
      <c r="J20">
        <f t="shared" si="3"/>
        <v>2.2368321870860344</v>
      </c>
      <c r="K20">
        <f t="shared" si="4"/>
        <v>4.2875735987142676</v>
      </c>
      <c r="L20">
        <v>0</v>
      </c>
    </row>
    <row r="21" spans="1:12" x14ac:dyDescent="0.4">
      <c r="A21">
        <v>9</v>
      </c>
      <c r="B21">
        <f t="shared" si="0"/>
        <v>27.494989979959918</v>
      </c>
      <c r="C21">
        <f t="shared" si="5"/>
        <v>0.46167105004933018</v>
      </c>
      <c r="D21">
        <f t="shared" si="6"/>
        <v>90.02927699085545</v>
      </c>
      <c r="E21">
        <f t="shared" si="1"/>
        <v>31.237866514592312</v>
      </c>
      <c r="F21">
        <f t="shared" si="7"/>
        <v>22.290337443532685</v>
      </c>
      <c r="G21">
        <f t="shared" si="8"/>
        <v>42.82848297026672</v>
      </c>
      <c r="H21">
        <f t="shared" si="2"/>
        <v>83838.660526837863</v>
      </c>
      <c r="J21">
        <f t="shared" si="3"/>
        <v>2.2290337443532686</v>
      </c>
      <c r="K21">
        <f t="shared" si="4"/>
        <v>4.2828482970266721</v>
      </c>
      <c r="L21">
        <v>0</v>
      </c>
    </row>
    <row r="22" spans="1:12" x14ac:dyDescent="0.4">
      <c r="A22">
        <v>10</v>
      </c>
      <c r="B22">
        <f t="shared" si="0"/>
        <v>27.438877755511022</v>
      </c>
      <c r="C22">
        <f t="shared" si="5"/>
        <v>0.46080210134229299</v>
      </c>
      <c r="D22">
        <f t="shared" si="6"/>
        <v>90.036144433154874</v>
      </c>
      <c r="E22">
        <f t="shared" si="1"/>
        <v>31.262488905667055</v>
      </c>
      <c r="F22">
        <f t="shared" si="7"/>
        <v>22.212568784687701</v>
      </c>
      <c r="G22">
        <f t="shared" si="8"/>
        <v>42.781314320021131</v>
      </c>
      <c r="H22">
        <f t="shared" si="2"/>
        <v>67838.698081209659</v>
      </c>
      <c r="J22">
        <f t="shared" si="3"/>
        <v>2.2212568784687701</v>
      </c>
      <c r="K22">
        <f t="shared" si="4"/>
        <v>4.2781314320021133</v>
      </c>
      <c r="L22">
        <v>0</v>
      </c>
    </row>
    <row r="23" spans="1:12" x14ac:dyDescent="0.4">
      <c r="A23">
        <v>11</v>
      </c>
      <c r="B23">
        <f t="shared" si="0"/>
        <v>27.382765531062123</v>
      </c>
      <c r="C23">
        <f t="shared" si="5"/>
        <v>0.45993271067407732</v>
      </c>
      <c r="D23">
        <f t="shared" si="6"/>
        <v>90.043734764117403</v>
      </c>
      <c r="E23">
        <f t="shared" si="1"/>
        <v>31.286749852410239</v>
      </c>
      <c r="F23">
        <f t="shared" si="7"/>
        <v>22.135015585645043</v>
      </c>
      <c r="G23">
        <f t="shared" si="8"/>
        <v>42.73423075142297</v>
      </c>
      <c r="H23">
        <f t="shared" si="2"/>
        <v>56007.130857410586</v>
      </c>
      <c r="J23">
        <f t="shared" si="3"/>
        <v>2.2135015585645044</v>
      </c>
      <c r="K23">
        <f t="shared" si="4"/>
        <v>4.273423075142297</v>
      </c>
      <c r="L23">
        <v>0</v>
      </c>
    </row>
    <row r="24" spans="1:12" x14ac:dyDescent="0.4">
      <c r="A24">
        <v>12</v>
      </c>
      <c r="B24">
        <f t="shared" si="0"/>
        <v>27.326653306613228</v>
      </c>
      <c r="C24">
        <f t="shared" si="5"/>
        <v>0.45906287887852715</v>
      </c>
      <c r="D24">
        <f t="shared" si="6"/>
        <v>90.052047983743037</v>
      </c>
      <c r="E24">
        <f t="shared" si="1"/>
        <v>31.310649354821869</v>
      </c>
      <c r="F24">
        <f t="shared" si="7"/>
        <v>22.057677531816577</v>
      </c>
      <c r="G24">
        <f t="shared" si="8"/>
        <v>42.687232970987097</v>
      </c>
      <c r="H24">
        <f t="shared" si="2"/>
        <v>47013.265399276323</v>
      </c>
      <c r="J24">
        <f t="shared" si="3"/>
        <v>2.2057677531816577</v>
      </c>
      <c r="K24">
        <f t="shared" si="4"/>
        <v>4.2687232970987097</v>
      </c>
      <c r="L24">
        <v>0</v>
      </c>
    </row>
    <row r="25" spans="1:12" x14ac:dyDescent="0.4">
      <c r="A25">
        <v>13</v>
      </c>
      <c r="B25">
        <f t="shared" si="0"/>
        <v>27.270541082164328</v>
      </c>
      <c r="C25">
        <f t="shared" si="5"/>
        <v>0.45819260678990903</v>
      </c>
      <c r="D25">
        <f t="shared" si="6"/>
        <v>90.061084092031749</v>
      </c>
      <c r="E25">
        <f t="shared" si="1"/>
        <v>31.334187412901962</v>
      </c>
      <c r="F25">
        <f t="shared" si="7"/>
        <v>21.980554302765995</v>
      </c>
      <c r="G25">
        <f t="shared" si="8"/>
        <v>42.640321676740875</v>
      </c>
      <c r="H25">
        <f t="shared" si="2"/>
        <v>40017.820097387848</v>
      </c>
      <c r="J25">
        <f t="shared" si="3"/>
        <v>2.1980554302765993</v>
      </c>
      <c r="K25">
        <f t="shared" si="4"/>
        <v>4.2640321676740873</v>
      </c>
      <c r="L25">
        <v>0</v>
      </c>
    </row>
    <row r="26" spans="1:12" x14ac:dyDescent="0.4">
      <c r="A26">
        <v>14</v>
      </c>
      <c r="B26">
        <f t="shared" si="0"/>
        <v>27.214428857715429</v>
      </c>
      <c r="C26">
        <f t="shared" si="5"/>
        <v>0.45732189524291217</v>
      </c>
      <c r="D26">
        <f t="shared" si="6"/>
        <v>90.070843088983565</v>
      </c>
      <c r="E26">
        <f t="shared" si="1"/>
        <v>31.357364026650501</v>
      </c>
      <c r="F26">
        <f t="shared" si="7"/>
        <v>21.903645572268694</v>
      </c>
      <c r="G26">
        <f t="shared" si="8"/>
        <v>42.593497558239704</v>
      </c>
      <c r="H26">
        <f t="shared" si="2"/>
        <v>34470.237790267107</v>
      </c>
      <c r="J26">
        <f t="shared" si="3"/>
        <v>2.1903645572268693</v>
      </c>
      <c r="K26">
        <f t="shared" si="4"/>
        <v>4.2593497558239708</v>
      </c>
      <c r="L26">
        <v>0</v>
      </c>
    </row>
    <row r="27" spans="1:12" x14ac:dyDescent="0.4">
      <c r="A27">
        <v>15</v>
      </c>
      <c r="B27">
        <f t="shared" si="0"/>
        <v>27.158316633266534</v>
      </c>
      <c r="C27">
        <f t="shared" si="5"/>
        <v>0.4564507450726471</v>
      </c>
      <c r="D27">
        <f t="shared" si="6"/>
        <v>90.081324974598488</v>
      </c>
      <c r="E27">
        <f t="shared" si="1"/>
        <v>31.380179196067488</v>
      </c>
      <c r="F27">
        <f t="shared" si="7"/>
        <v>21.826951008371665</v>
      </c>
      <c r="G27">
        <f t="shared" si="8"/>
        <v>42.546761296583441</v>
      </c>
      <c r="H27">
        <f t="shared" si="2"/>
        <v>29997.221707635876</v>
      </c>
      <c r="J27">
        <f t="shared" si="3"/>
        <v>2.1826951008371664</v>
      </c>
      <c r="K27">
        <f t="shared" si="4"/>
        <v>4.2546761296583444</v>
      </c>
      <c r="L27">
        <v>0</v>
      </c>
    </row>
    <row r="28" spans="1:12" x14ac:dyDescent="0.4">
      <c r="A28">
        <v>16</v>
      </c>
      <c r="B28">
        <f t="shared" si="0"/>
        <v>27.102204408817634</v>
      </c>
      <c r="C28">
        <f t="shared" si="5"/>
        <v>0.45557915711464497</v>
      </c>
      <c r="D28">
        <f t="shared" si="6"/>
        <v>90.092529748876515</v>
      </c>
      <c r="E28">
        <f t="shared" si="1"/>
        <v>31.402632921152929</v>
      </c>
      <c r="F28">
        <f t="shared" si="7"/>
        <v>21.750470273453704</v>
      </c>
      <c r="G28">
        <f t="shared" si="8"/>
        <v>42.500113564433661</v>
      </c>
      <c r="H28">
        <f t="shared" si="2"/>
        <v>26338.422121197978</v>
      </c>
      <c r="J28">
        <f t="shared" si="3"/>
        <v>2.1750470273453706</v>
      </c>
      <c r="K28">
        <f t="shared" si="4"/>
        <v>4.2500113564433661</v>
      </c>
      <c r="L28">
        <v>0</v>
      </c>
    </row>
    <row r="29" spans="1:12" x14ac:dyDescent="0.4">
      <c r="A29">
        <v>17</v>
      </c>
      <c r="B29">
        <f t="shared" si="0"/>
        <v>27.046092184368739</v>
      </c>
      <c r="C29">
        <f t="shared" si="5"/>
        <v>0.45470713220485709</v>
      </c>
      <c r="D29">
        <f t="shared" si="6"/>
        <v>90.104457411817606</v>
      </c>
      <c r="E29">
        <f t="shared" si="1"/>
        <v>31.424725201906824</v>
      </c>
      <c r="F29">
        <f t="shared" si="7"/>
        <v>21.674203024285692</v>
      </c>
      <c r="G29">
        <f t="shared" si="8"/>
        <v>42.45355502603185</v>
      </c>
      <c r="H29">
        <f t="shared" si="2"/>
        <v>23307.784695856593</v>
      </c>
      <c r="J29">
        <f t="shared" si="3"/>
        <v>2.1674203024285692</v>
      </c>
      <c r="K29">
        <f t="shared" si="4"/>
        <v>4.2453555026031848</v>
      </c>
      <c r="L29">
        <v>0</v>
      </c>
    </row>
    <row r="30" spans="1:12" x14ac:dyDescent="0.4">
      <c r="A30">
        <v>18</v>
      </c>
      <c r="B30">
        <f t="shared" si="0"/>
        <v>26.98997995991984</v>
      </c>
      <c r="C30">
        <f t="shared" si="5"/>
        <v>0.45383467117965354</v>
      </c>
      <c r="D30">
        <f t="shared" si="6"/>
        <v>90.117107963421816</v>
      </c>
      <c r="E30">
        <f t="shared" si="1"/>
        <v>31.446456038329174</v>
      </c>
      <c r="F30">
        <f t="shared" si="7"/>
        <v>21.59814891209081</v>
      </c>
      <c r="G30">
        <f t="shared" si="8"/>
        <v>42.407086337218161</v>
      </c>
      <c r="H30">
        <f t="shared" si="2"/>
        <v>20769.492775919527</v>
      </c>
      <c r="J30">
        <f t="shared" si="3"/>
        <v>2.1598148912090811</v>
      </c>
      <c r="K30">
        <f t="shared" si="4"/>
        <v>4.2407086337218161</v>
      </c>
      <c r="L30">
        <v>0</v>
      </c>
    </row>
    <row r="31" spans="1:12" x14ac:dyDescent="0.4">
      <c r="A31">
        <v>19</v>
      </c>
      <c r="B31">
        <f t="shared" si="0"/>
        <v>26.93386773547094</v>
      </c>
      <c r="C31">
        <f t="shared" si="5"/>
        <v>0.4529617748758229</v>
      </c>
      <c r="D31">
        <f t="shared" si="6"/>
        <v>90.130481403689146</v>
      </c>
      <c r="E31">
        <f t="shared" si="1"/>
        <v>31.467825430419957</v>
      </c>
      <c r="F31">
        <f t="shared" si="7"/>
        <v>21.52230758260529</v>
      </c>
      <c r="G31">
        <f t="shared" si="8"/>
        <v>42.360708145451376</v>
      </c>
      <c r="H31">
        <f t="shared" si="2"/>
        <v>18622.530033428946</v>
      </c>
      <c r="J31">
        <f t="shared" si="3"/>
        <v>2.1522307582605289</v>
      </c>
      <c r="K31">
        <f t="shared" si="4"/>
        <v>4.2360708145451378</v>
      </c>
      <c r="L31">
        <v>0</v>
      </c>
    </row>
    <row r="32" spans="1:12" x14ac:dyDescent="0.4">
      <c r="A32">
        <v>20</v>
      </c>
      <c r="B32">
        <f t="shared" si="0"/>
        <v>26.877755511022045</v>
      </c>
      <c r="C32">
        <f t="shared" si="5"/>
        <v>0.45208844413057114</v>
      </c>
      <c r="D32">
        <f t="shared" si="6"/>
        <v>90.144577732619553</v>
      </c>
      <c r="E32">
        <f t="shared" si="1"/>
        <v>31.488833378179201</v>
      </c>
      <c r="F32">
        <f t="shared" si="7"/>
        <v>21.446678676138756</v>
      </c>
      <c r="G32">
        <f t="shared" si="8"/>
        <v>42.314421089829317</v>
      </c>
      <c r="H32">
        <f t="shared" si="2"/>
        <v>16790.506141173482</v>
      </c>
      <c r="J32">
        <f t="shared" si="3"/>
        <v>2.1446678676138755</v>
      </c>
      <c r="K32">
        <f t="shared" si="4"/>
        <v>4.2314421089829315</v>
      </c>
      <c r="L32">
        <v>0</v>
      </c>
    </row>
    <row r="33" spans="1:12" x14ac:dyDescent="0.4">
      <c r="A33">
        <v>21</v>
      </c>
      <c r="B33">
        <f t="shared" si="0"/>
        <v>26.821643286573146</v>
      </c>
      <c r="C33">
        <f t="shared" si="5"/>
        <v>0.45121467978152091</v>
      </c>
      <c r="D33">
        <f t="shared" si="6"/>
        <v>90.159396950213051</v>
      </c>
      <c r="E33">
        <f t="shared" si="1"/>
        <v>31.5094798816069</v>
      </c>
      <c r="F33">
        <f t="shared" si="7"/>
        <v>21.371261827635095</v>
      </c>
      <c r="G33">
        <f t="shared" si="8"/>
        <v>42.268225801110283</v>
      </c>
      <c r="H33">
        <f t="shared" si="2"/>
        <v>15214.79055138002</v>
      </c>
      <c r="J33">
        <f t="shared" si="3"/>
        <v>2.1371261827635095</v>
      </c>
      <c r="K33">
        <f t="shared" si="4"/>
        <v>4.226822580111028</v>
      </c>
      <c r="L33">
        <v>0</v>
      </c>
    </row>
    <row r="34" spans="1:12" x14ac:dyDescent="0.4">
      <c r="A34">
        <v>22</v>
      </c>
      <c r="B34">
        <f t="shared" si="0"/>
        <v>26.76553106212425</v>
      </c>
      <c r="C34">
        <f t="shared" si="5"/>
        <v>0.45034048266671084</v>
      </c>
      <c r="D34">
        <f t="shared" si="6"/>
        <v>90.174939056469654</v>
      </c>
      <c r="E34">
        <f t="shared" si="1"/>
        <v>31.529764940703046</v>
      </c>
      <c r="F34">
        <f t="shared" si="7"/>
        <v>21.296056666733161</v>
      </c>
      <c r="G34">
        <f t="shared" si="8"/>
        <v>42.222122901735183</v>
      </c>
      <c r="H34">
        <f t="shared" si="2"/>
        <v>13849.779962608793</v>
      </c>
      <c r="J34">
        <f t="shared" si="3"/>
        <v>2.1296056666733163</v>
      </c>
      <c r="K34">
        <f t="shared" si="4"/>
        <v>4.222212290173518</v>
      </c>
      <c r="L34">
        <v>0</v>
      </c>
    </row>
    <row r="35" spans="1:12" x14ac:dyDescent="0.4">
      <c r="A35">
        <v>23</v>
      </c>
      <c r="B35">
        <f t="shared" si="0"/>
        <v>26.709418837675351</v>
      </c>
      <c r="C35">
        <f t="shared" si="5"/>
        <v>0.44946585362459446</v>
      </c>
      <c r="D35">
        <f t="shared" si="6"/>
        <v>90.191204051389349</v>
      </c>
      <c r="E35">
        <f t="shared" si="1"/>
        <v>31.549688555467654</v>
      </c>
      <c r="F35">
        <f t="shared" si="7"/>
        <v>21.221062817827619</v>
      </c>
      <c r="G35">
        <f t="shared" si="8"/>
        <v>42.176113005850475</v>
      </c>
      <c r="H35">
        <f t="shared" si="2"/>
        <v>12659.5740863673</v>
      </c>
      <c r="J35">
        <f t="shared" si="3"/>
        <v>2.1221062817827621</v>
      </c>
      <c r="K35">
        <f t="shared" si="4"/>
        <v>4.2176113005850473</v>
      </c>
      <c r="L35">
        <v>0</v>
      </c>
    </row>
    <row r="36" spans="1:12" x14ac:dyDescent="0.4">
      <c r="A36">
        <v>24</v>
      </c>
      <c r="B36">
        <f t="shared" si="0"/>
        <v>26.653306613226452</v>
      </c>
      <c r="C36">
        <f t="shared" si="5"/>
        <v>0.44859079349403963</v>
      </c>
      <c r="D36">
        <f t="shared" si="6"/>
        <v>90.208191934972135</v>
      </c>
      <c r="E36">
        <f t="shared" si="1"/>
        <v>31.569250725900709</v>
      </c>
      <c r="F36">
        <f t="shared" si="7"/>
        <v>21.146279900129841</v>
      </c>
      <c r="G36">
        <f t="shared" si="8"/>
        <v>42.130196719331828</v>
      </c>
      <c r="H36">
        <f t="shared" si="2"/>
        <v>11615.600400554988</v>
      </c>
      <c r="J36">
        <f t="shared" si="3"/>
        <v>2.1146279900129841</v>
      </c>
      <c r="K36">
        <f t="shared" si="4"/>
        <v>4.2130196719331829</v>
      </c>
      <c r="L36">
        <v>0</v>
      </c>
    </row>
    <row r="37" spans="1:12" x14ac:dyDescent="0.4">
      <c r="A37">
        <v>25</v>
      </c>
      <c r="B37">
        <f t="shared" si="0"/>
        <v>26.597194388777556</v>
      </c>
      <c r="C37">
        <f t="shared" si="5"/>
        <v>0.44771530311432772</v>
      </c>
      <c r="D37">
        <f t="shared" si="6"/>
        <v>90.225902707218026</v>
      </c>
      <c r="E37">
        <f t="shared" si="1"/>
        <v>31.588451452002211</v>
      </c>
      <c r="F37">
        <f t="shared" si="7"/>
        <v>21.07170752772895</v>
      </c>
      <c r="G37">
        <f t="shared" si="8"/>
        <v>42.084374639808658</v>
      </c>
      <c r="H37">
        <f t="shared" si="2"/>
        <v>10694.890474294452</v>
      </c>
      <c r="J37">
        <f t="shared" si="3"/>
        <v>2.1071707527728951</v>
      </c>
      <c r="K37">
        <f t="shared" si="4"/>
        <v>4.2084374639808662</v>
      </c>
      <c r="L37">
        <v>0</v>
      </c>
    </row>
    <row r="38" spans="1:12" x14ac:dyDescent="0.4">
      <c r="A38">
        <v>26</v>
      </c>
      <c r="B38">
        <f t="shared" si="0"/>
        <v>26.541082164328657</v>
      </c>
      <c r="C38">
        <f t="shared" si="5"/>
        <v>0.44683938332515277</v>
      </c>
      <c r="D38">
        <f t="shared" si="6"/>
        <v>90.244336368127023</v>
      </c>
      <c r="E38">
        <f t="shared" si="1"/>
        <v>31.60729073377216</v>
      </c>
      <c r="F38">
        <f t="shared" si="7"/>
        <v>20.99734530965263</v>
      </c>
      <c r="G38">
        <f t="shared" si="8"/>
        <v>42.038647356689175</v>
      </c>
      <c r="H38">
        <f t="shared" si="2"/>
        <v>9878.8113394935226</v>
      </c>
      <c r="J38">
        <f t="shared" si="3"/>
        <v>2.0997345309652631</v>
      </c>
      <c r="K38">
        <f t="shared" si="4"/>
        <v>4.2038647356689172</v>
      </c>
      <c r="L38">
        <v>0</v>
      </c>
    </row>
    <row r="39" spans="1:12" x14ac:dyDescent="0.4">
      <c r="A39">
        <v>27</v>
      </c>
      <c r="B39">
        <f t="shared" si="0"/>
        <v>26.484969939879761</v>
      </c>
      <c r="C39">
        <f t="shared" si="5"/>
        <v>0.4459630349666206</v>
      </c>
      <c r="D39">
        <f t="shared" si="6"/>
        <v>90.263492917699125</v>
      </c>
      <c r="E39">
        <f t="shared" si="1"/>
        <v>31.625768571210557</v>
      </c>
      <c r="F39">
        <f t="shared" si="7"/>
        <v>20.923192849928331</v>
      </c>
      <c r="G39">
        <f t="shared" si="8"/>
        <v>41.99301545118648</v>
      </c>
      <c r="H39">
        <f t="shared" si="2"/>
        <v>9152.1196348656613</v>
      </c>
      <c r="J39">
        <f t="shared" si="3"/>
        <v>2.0923192849928332</v>
      </c>
      <c r="K39">
        <f t="shared" si="4"/>
        <v>4.1993015451186482</v>
      </c>
      <c r="L39">
        <v>0</v>
      </c>
    </row>
    <row r="40" spans="1:12" x14ac:dyDescent="0.4">
      <c r="A40">
        <v>28</v>
      </c>
      <c r="B40">
        <f t="shared" si="0"/>
        <v>26.428857715430862</v>
      </c>
      <c r="C40">
        <f t="shared" si="5"/>
        <v>0.44508625887924813</v>
      </c>
      <c r="D40">
        <f t="shared" si="6"/>
        <v>90.28337235593429</v>
      </c>
      <c r="E40">
        <f t="shared" si="1"/>
        <v>31.643884964317422</v>
      </c>
      <c r="F40">
        <f t="shared" si="7"/>
        <v>20.849249747644244</v>
      </c>
      <c r="G40">
        <f t="shared" si="8"/>
        <v>41.947479496345096</v>
      </c>
      <c r="H40">
        <f t="shared" si="2"/>
        <v>8502.2479802865309</v>
      </c>
      <c r="J40">
        <f t="shared" si="3"/>
        <v>2.0849249747644243</v>
      </c>
      <c r="K40">
        <f t="shared" si="4"/>
        <v>4.1947479496345093</v>
      </c>
      <c r="L40">
        <v>0</v>
      </c>
    </row>
    <row r="41" spans="1:12" x14ac:dyDescent="0.4">
      <c r="A41">
        <v>29</v>
      </c>
      <c r="B41">
        <f t="shared" si="0"/>
        <v>26.372745490981963</v>
      </c>
      <c r="C41">
        <f t="shared" si="5"/>
        <v>0.44420905590396242</v>
      </c>
      <c r="D41">
        <f t="shared" si="6"/>
        <v>90.303974682832589</v>
      </c>
      <c r="E41">
        <f t="shared" si="1"/>
        <v>31.661639913092728</v>
      </c>
      <c r="F41">
        <f t="shared" si="7"/>
        <v>20.775515597010337</v>
      </c>
      <c r="G41">
        <f t="shared" si="8"/>
        <v>41.902040057068383</v>
      </c>
      <c r="H41">
        <f t="shared" si="2"/>
        <v>7918.7606398065282</v>
      </c>
      <c r="J41">
        <f t="shared" si="3"/>
        <v>2.0775515597010337</v>
      </c>
      <c r="K41">
        <f t="shared" si="4"/>
        <v>4.1902040057068382</v>
      </c>
      <c r="L41">
        <v>0</v>
      </c>
    </row>
    <row r="42" spans="1:12" x14ac:dyDescent="0.4">
      <c r="A42">
        <v>30</v>
      </c>
      <c r="B42">
        <f t="shared" si="0"/>
        <v>26.316633266533067</v>
      </c>
      <c r="C42">
        <f t="shared" si="5"/>
        <v>0.44333142688210014</v>
      </c>
      <c r="D42">
        <f t="shared" si="6"/>
        <v>90.325299898393979</v>
      </c>
      <c r="E42">
        <f t="shared" si="1"/>
        <v>31.679033417536473</v>
      </c>
      <c r="F42">
        <f t="shared" si="7"/>
        <v>20.701989987419445</v>
      </c>
      <c r="G42">
        <f t="shared" si="8"/>
        <v>41.856697690146575</v>
      </c>
      <c r="H42">
        <f t="shared" si="2"/>
        <v>7392.9340911881527</v>
      </c>
      <c r="J42">
        <f t="shared" si="3"/>
        <v>2.0701989987419447</v>
      </c>
      <c r="K42">
        <f t="shared" si="4"/>
        <v>4.1856697690146571</v>
      </c>
      <c r="L42">
        <v>0</v>
      </c>
    </row>
    <row r="43" spans="1:12" x14ac:dyDescent="0.4">
      <c r="A43">
        <v>31</v>
      </c>
      <c r="B43">
        <f t="shared" si="0"/>
        <v>26.260521042084168</v>
      </c>
      <c r="C43">
        <f t="shared" si="5"/>
        <v>0.44245337265540641</v>
      </c>
      <c r="D43">
        <f t="shared" si="6"/>
        <v>90.347348002618475</v>
      </c>
      <c r="E43">
        <f t="shared" si="1"/>
        <v>31.696065477648681</v>
      </c>
      <c r="F43">
        <f t="shared" si="7"/>
        <v>20.628672503508309</v>
      </c>
      <c r="G43">
        <f t="shared" si="8"/>
        <v>41.811452944285563</v>
      </c>
      <c r="H43">
        <f t="shared" si="2"/>
        <v>6917.4307923351053</v>
      </c>
      <c r="J43">
        <f t="shared" si="3"/>
        <v>2.062867250350831</v>
      </c>
      <c r="K43">
        <f t="shared" si="4"/>
        <v>4.1811452944285561</v>
      </c>
      <c r="L43">
        <v>0</v>
      </c>
    </row>
    <row r="44" spans="1:12" x14ac:dyDescent="0.4">
      <c r="A44">
        <v>32</v>
      </c>
      <c r="B44">
        <f t="shared" si="0"/>
        <v>26.204408817635269</v>
      </c>
      <c r="C44">
        <f t="shared" si="5"/>
        <v>0.44157489406603434</v>
      </c>
      <c r="D44">
        <f t="shared" si="6"/>
        <v>90.370118995506033</v>
      </c>
      <c r="E44">
        <f t="shared" si="1"/>
        <v>31.712736093429349</v>
      </c>
      <c r="F44">
        <f t="shared" si="7"/>
        <v>20.5555627252186</v>
      </c>
      <c r="G44">
        <f t="shared" si="8"/>
        <v>41.766306360136305</v>
      </c>
      <c r="H44">
        <f t="shared" si="2"/>
        <v>6486.043211277798</v>
      </c>
      <c r="J44">
        <f t="shared" si="3"/>
        <v>2.0555562725218599</v>
      </c>
      <c r="K44">
        <f t="shared" si="4"/>
        <v>4.1766306360136305</v>
      </c>
      <c r="L44">
        <v>0</v>
      </c>
    </row>
    <row r="45" spans="1:12" x14ac:dyDescent="0.4">
      <c r="A45">
        <v>33</v>
      </c>
      <c r="B45">
        <f t="shared" si="0"/>
        <v>26.148296593186373</v>
      </c>
      <c r="C45">
        <f t="shared" si="5"/>
        <v>0.44069599195654391</v>
      </c>
      <c r="D45">
        <f t="shared" si="6"/>
        <v>90.393612877056711</v>
      </c>
      <c r="E45">
        <f t="shared" si="1"/>
        <v>31.729045264878458</v>
      </c>
      <c r="F45">
        <f t="shared" si="7"/>
        <v>20.48266022785791</v>
      </c>
      <c r="G45">
        <f t="shared" si="8"/>
        <v>41.721258470324919</v>
      </c>
      <c r="H45">
        <f t="shared" si="2"/>
        <v>6093.4913445882448</v>
      </c>
      <c r="J45">
        <f t="shared" si="3"/>
        <v>2.048266022785791</v>
      </c>
      <c r="K45">
        <f t="shared" si="4"/>
        <v>4.1721258470324916</v>
      </c>
      <c r="L45">
        <v>0</v>
      </c>
    </row>
    <row r="46" spans="1:12" x14ac:dyDescent="0.4">
      <c r="A46">
        <v>34</v>
      </c>
      <c r="B46">
        <f t="shared" si="0"/>
        <v>26.092184368737474</v>
      </c>
      <c r="C46">
        <f t="shared" si="5"/>
        <v>0.43981666716990131</v>
      </c>
      <c r="D46">
        <f t="shared" si="6"/>
        <v>90.417829647270494</v>
      </c>
      <c r="E46">
        <f t="shared" si="1"/>
        <v>31.744992991996014</v>
      </c>
      <c r="F46">
        <f t="shared" si="7"/>
        <v>20.409964582160743</v>
      </c>
      <c r="G46">
        <f t="shared" si="8"/>
        <v>41.676309799483441</v>
      </c>
      <c r="H46">
        <f t="shared" si="2"/>
        <v>5735.2613234243181</v>
      </c>
      <c r="J46">
        <f t="shared" si="3"/>
        <v>2.0409964582160742</v>
      </c>
      <c r="K46">
        <f t="shared" si="4"/>
        <v>4.1676309799483438</v>
      </c>
      <c r="L46">
        <v>0</v>
      </c>
    </row>
    <row r="47" spans="1:12" x14ac:dyDescent="0.4">
      <c r="A47">
        <v>35</v>
      </c>
      <c r="B47">
        <f t="shared" si="0"/>
        <v>26.036072144288578</v>
      </c>
      <c r="C47">
        <f t="shared" si="5"/>
        <v>0.43893692054947825</v>
      </c>
      <c r="D47">
        <f t="shared" si="6"/>
        <v>90.442769306147369</v>
      </c>
      <c r="E47">
        <f t="shared" si="1"/>
        <v>31.760579274782025</v>
      </c>
      <c r="F47">
        <f t="shared" si="7"/>
        <v>20.337475354349436</v>
      </c>
      <c r="G47">
        <f t="shared" si="8"/>
        <v>41.631460864281252</v>
      </c>
      <c r="H47">
        <f t="shared" si="2"/>
        <v>5407.4758491507046</v>
      </c>
      <c r="J47">
        <f t="shared" si="3"/>
        <v>2.0337475354349435</v>
      </c>
      <c r="K47">
        <f t="shared" si="4"/>
        <v>4.1631460864281253</v>
      </c>
      <c r="L47">
        <v>0</v>
      </c>
    </row>
    <row r="48" spans="1:12" x14ac:dyDescent="0.4">
      <c r="A48">
        <v>36</v>
      </c>
      <c r="B48">
        <f t="shared" si="0"/>
        <v>25.979959919839679</v>
      </c>
      <c r="C48">
        <f t="shared" si="5"/>
        <v>0.43805675293905089</v>
      </c>
      <c r="D48">
        <f t="shared" si="6"/>
        <v>90.468431853687321</v>
      </c>
      <c r="E48">
        <f t="shared" si="1"/>
        <v>31.775804113236504</v>
      </c>
      <c r="F48">
        <f t="shared" si="7"/>
        <v>20.26519210619492</v>
      </c>
      <c r="G48">
        <f t="shared" si="8"/>
        <v>41.586712173457009</v>
      </c>
      <c r="H48">
        <f t="shared" si="2"/>
        <v>5106.7894826623642</v>
      </c>
      <c r="J48">
        <f t="shared" si="3"/>
        <v>2.026519210619492</v>
      </c>
      <c r="K48">
        <f t="shared" si="4"/>
        <v>4.1586712173457006</v>
      </c>
      <c r="L48">
        <v>0</v>
      </c>
    </row>
    <row r="49" spans="1:12" x14ac:dyDescent="0.4">
      <c r="A49">
        <v>37</v>
      </c>
      <c r="B49">
        <f t="shared" si="0"/>
        <v>25.923847695390783</v>
      </c>
      <c r="C49">
        <f t="shared" si="5"/>
        <v>0.43717616518279934</v>
      </c>
      <c r="D49">
        <f t="shared" si="6"/>
        <v>90.494817289890392</v>
      </c>
      <c r="E49">
        <f t="shared" si="1"/>
        <v>31.790667507359416</v>
      </c>
      <c r="F49">
        <f t="shared" si="7"/>
        <v>20.193114395077693</v>
      </c>
      <c r="G49">
        <f t="shared" si="8"/>
        <v>41.542064227851441</v>
      </c>
      <c r="H49">
        <f t="shared" si="2"/>
        <v>4830.3034853214895</v>
      </c>
      <c r="J49">
        <f t="shared" si="3"/>
        <v>2.0193114395077694</v>
      </c>
      <c r="K49">
        <f t="shared" si="4"/>
        <v>4.1542064227851441</v>
      </c>
      <c r="L49">
        <v>0</v>
      </c>
    </row>
    <row r="50" spans="1:12" x14ac:dyDescent="0.4">
      <c r="A50">
        <v>38</v>
      </c>
      <c r="B50">
        <f t="shared" si="0"/>
        <v>25.867735470941884</v>
      </c>
      <c r="C50">
        <f t="shared" si="5"/>
        <v>0.43629515812530634</v>
      </c>
      <c r="D50">
        <f t="shared" si="6"/>
        <v>90.521925614756569</v>
      </c>
      <c r="E50">
        <f t="shared" si="1"/>
        <v>31.805169457150775</v>
      </c>
      <c r="F50">
        <f t="shared" si="7"/>
        <v>20.121241774048389</v>
      </c>
      <c r="G50">
        <f t="shared" si="8"/>
        <v>41.497517520440489</v>
      </c>
      <c r="H50">
        <f t="shared" si="2"/>
        <v>4575.4961486777565</v>
      </c>
      <c r="J50">
        <f t="shared" si="3"/>
        <v>2.0121241774048388</v>
      </c>
      <c r="K50">
        <f t="shared" si="4"/>
        <v>4.1497517520440486</v>
      </c>
      <c r="L50">
        <v>0</v>
      </c>
    </row>
    <row r="51" spans="1:12" x14ac:dyDescent="0.4">
      <c r="A51">
        <v>39</v>
      </c>
      <c r="B51">
        <f t="shared" si="0"/>
        <v>25.811623246492985</v>
      </c>
      <c r="C51">
        <f t="shared" si="5"/>
        <v>0.43541373261155708</v>
      </c>
      <c r="D51">
        <f t="shared" si="6"/>
        <v>90.549756828285808</v>
      </c>
      <c r="E51">
        <f t="shared" si="1"/>
        <v>31.819309962610603</v>
      </c>
      <c r="F51">
        <f t="shared" si="7"/>
        <v>20.049573791888481</v>
      </c>
      <c r="G51">
        <f t="shared" si="8"/>
        <v>41.453072536369206</v>
      </c>
      <c r="H51">
        <f t="shared" si="2"/>
        <v>4340.1654757001743</v>
      </c>
      <c r="J51">
        <f t="shared" si="3"/>
        <v>2.004957379188848</v>
      </c>
      <c r="K51">
        <f t="shared" si="4"/>
        <v>4.1453072536369202</v>
      </c>
      <c r="L51">
        <v>0</v>
      </c>
    </row>
    <row r="52" spans="1:12" x14ac:dyDescent="0.4">
      <c r="A52">
        <v>40</v>
      </c>
      <c r="B52">
        <f t="shared" si="0"/>
        <v>25.755511022044089</v>
      </c>
      <c r="C52">
        <f t="shared" si="5"/>
        <v>0.43453188948693822</v>
      </c>
      <c r="D52">
        <f t="shared" si="6"/>
        <v>90.578310930478182</v>
      </c>
      <c r="E52">
        <f t="shared" si="1"/>
        <v>31.833089023738864</v>
      </c>
      <c r="F52">
        <f t="shared" si="7"/>
        <v>19.978109993170829</v>
      </c>
      <c r="G52">
        <f t="shared" si="8"/>
        <v>41.408729752986218</v>
      </c>
      <c r="H52">
        <f t="shared" si="2"/>
        <v>4122.3817733760852</v>
      </c>
      <c r="J52">
        <f t="shared" si="3"/>
        <v>1.9978109993170829</v>
      </c>
      <c r="K52">
        <f t="shared" si="4"/>
        <v>4.1408729752986222</v>
      </c>
      <c r="L52">
        <v>0</v>
      </c>
    </row>
    <row r="53" spans="1:12" x14ac:dyDescent="0.4">
      <c r="A53">
        <v>41</v>
      </c>
      <c r="B53">
        <f t="shared" si="0"/>
        <v>25.69939879759519</v>
      </c>
      <c r="C53">
        <f t="shared" si="5"/>
        <v>0.43364962959723652</v>
      </c>
      <c r="D53">
        <f t="shared" si="6"/>
        <v>90.607587921333646</v>
      </c>
      <c r="E53">
        <f t="shared" si="1"/>
        <v>31.84650664053558</v>
      </c>
      <c r="F53">
        <f t="shared" si="7"/>
        <v>19.906849918320063</v>
      </c>
      <c r="G53">
        <f t="shared" si="8"/>
        <v>41.364489639878698</v>
      </c>
      <c r="H53">
        <f t="shared" si="2"/>
        <v>3920.4482457051022</v>
      </c>
      <c r="J53">
        <f t="shared" si="3"/>
        <v>1.9906849918320062</v>
      </c>
      <c r="K53">
        <f t="shared" si="4"/>
        <v>4.1364489639878697</v>
      </c>
      <c r="L53">
        <v>0</v>
      </c>
    </row>
    <row r="54" spans="1:12" x14ac:dyDescent="0.4">
      <c r="A54">
        <v>42</v>
      </c>
      <c r="B54">
        <f t="shared" si="0"/>
        <v>25.643286573146291</v>
      </c>
      <c r="C54">
        <f t="shared" si="5"/>
        <v>0.43276695378863878</v>
      </c>
      <c r="D54">
        <f t="shared" si="6"/>
        <v>90.637587800852216</v>
      </c>
      <c r="E54">
        <f t="shared" si="1"/>
        <v>31.85956281300075</v>
      </c>
      <c r="F54">
        <f t="shared" si="7"/>
        <v>19.835793103673026</v>
      </c>
      <c r="G54">
        <f t="shared" si="8"/>
        <v>41.320352658908</v>
      </c>
      <c r="H54">
        <f t="shared" si="2"/>
        <v>3732.8680807746759</v>
      </c>
      <c r="J54">
        <f t="shared" si="3"/>
        <v>1.9835793103673027</v>
      </c>
      <c r="K54">
        <f t="shared" si="4"/>
        <v>4.1320352658908002</v>
      </c>
      <c r="L54">
        <v>0</v>
      </c>
    </row>
    <row r="55" spans="1:12" x14ac:dyDescent="0.4">
      <c r="A55">
        <v>43</v>
      </c>
      <c r="B55">
        <f t="shared" si="0"/>
        <v>25.587174348697395</v>
      </c>
      <c r="C55">
        <f t="shared" si="5"/>
        <v>0.43188386290773073</v>
      </c>
      <c r="D55">
        <f t="shared" si="6"/>
        <v>90.668310569033864</v>
      </c>
      <c r="E55">
        <f t="shared" si="1"/>
        <v>31.872257541134374</v>
      </c>
      <c r="F55">
        <f t="shared" si="7"/>
        <v>19.764939081538916</v>
      </c>
      <c r="G55">
        <f t="shared" si="8"/>
        <v>41.276319264245771</v>
      </c>
      <c r="H55">
        <f t="shared" si="2"/>
        <v>3558.316837285588</v>
      </c>
      <c r="J55">
        <f t="shared" si="3"/>
        <v>1.9764939081538917</v>
      </c>
      <c r="K55">
        <f t="shared" si="4"/>
        <v>4.1276319264245771</v>
      </c>
      <c r="L55">
        <v>0</v>
      </c>
    </row>
    <row r="56" spans="1:12" x14ac:dyDescent="0.4">
      <c r="A56">
        <v>44</v>
      </c>
      <c r="B56">
        <f t="shared" si="0"/>
        <v>25.531062124248496</v>
      </c>
      <c r="C56">
        <f t="shared" si="5"/>
        <v>0.43100035780149593</v>
      </c>
      <c r="D56">
        <f t="shared" si="6"/>
        <v>90.699756225878602</v>
      </c>
      <c r="E56">
        <f t="shared" si="1"/>
        <v>31.884590824936453</v>
      </c>
      <c r="F56">
        <f t="shared" si="7"/>
        <v>19.694287380259393</v>
      </c>
      <c r="G56">
        <f t="shared" si="8"/>
        <v>41.232389902410617</v>
      </c>
      <c r="H56">
        <f t="shared" si="2"/>
        <v>3395.6191775199054</v>
      </c>
      <c r="J56">
        <f t="shared" si="3"/>
        <v>1.9694287380259392</v>
      </c>
      <c r="K56">
        <f t="shared" si="4"/>
        <v>4.1232389902410613</v>
      </c>
      <c r="L56">
        <v>0</v>
      </c>
    </row>
    <row r="57" spans="1:12" x14ac:dyDescent="0.4">
      <c r="A57">
        <v>45</v>
      </c>
      <c r="B57">
        <f t="shared" si="0"/>
        <v>25.474949899799601</v>
      </c>
      <c r="C57">
        <f t="shared" si="5"/>
        <v>0.43011643931731558</v>
      </c>
      <c r="D57">
        <f t="shared" si="6"/>
        <v>90.73192477138646</v>
      </c>
      <c r="E57">
        <f t="shared" si="1"/>
        <v>31.896562664406972</v>
      </c>
      <c r="F57">
        <f t="shared" si="7"/>
        <v>19.623837524268591</v>
      </c>
      <c r="G57">
        <f t="shared" si="8"/>
        <v>41.188565012305368</v>
      </c>
      <c r="H57">
        <f t="shared" si="2"/>
        <v>3243.7291822724646</v>
      </c>
      <c r="J57">
        <f t="shared" si="3"/>
        <v>1.962383752426859</v>
      </c>
      <c r="K57">
        <f t="shared" si="4"/>
        <v>4.1188565012305371</v>
      </c>
      <c r="L57">
        <v>0</v>
      </c>
    </row>
    <row r="58" spans="1:12" x14ac:dyDescent="0.4">
      <c r="A58">
        <v>46</v>
      </c>
      <c r="B58">
        <f t="shared" si="0"/>
        <v>25.418837675350701</v>
      </c>
      <c r="C58">
        <f t="shared" si="5"/>
        <v>0.42923210830296704</v>
      </c>
      <c r="D58">
        <f t="shared" si="6"/>
        <v>90.764816205557409</v>
      </c>
      <c r="E58">
        <f t="shared" si="1"/>
        <v>31.908173059545945</v>
      </c>
      <c r="F58">
        <f t="shared" si="7"/>
        <v>19.553589034152818</v>
      </c>
      <c r="G58">
        <f t="shared" si="8"/>
        <v>41.144845025254682</v>
      </c>
      <c r="H58">
        <f t="shared" si="2"/>
        <v>3101.7136312543039</v>
      </c>
      <c r="J58">
        <f t="shared" si="3"/>
        <v>1.9553589034152818</v>
      </c>
      <c r="K58">
        <f t="shared" si="4"/>
        <v>4.1144845025254684</v>
      </c>
      <c r="L58">
        <v>0</v>
      </c>
    </row>
    <row r="59" spans="1:12" x14ac:dyDescent="0.4">
      <c r="A59">
        <v>47</v>
      </c>
      <c r="B59">
        <f t="shared" si="0"/>
        <v>25.362725450901802</v>
      </c>
      <c r="C59">
        <f t="shared" si="5"/>
        <v>0.42834736560662356</v>
      </c>
      <c r="D59">
        <f t="shared" si="6"/>
        <v>90.798430528391449</v>
      </c>
      <c r="E59">
        <f t="shared" si="1"/>
        <v>31.919422010353372</v>
      </c>
      <c r="F59">
        <f t="shared" si="7"/>
        <v>19.483541426710357</v>
      </c>
      <c r="G59">
        <f t="shared" si="8"/>
        <v>41.101230365043428</v>
      </c>
      <c r="H59">
        <f t="shared" si="2"/>
        <v>2968.7377493086956</v>
      </c>
      <c r="J59">
        <f t="shared" si="3"/>
        <v>1.9483541426710356</v>
      </c>
      <c r="K59">
        <f t="shared" si="4"/>
        <v>4.1101230365043424</v>
      </c>
      <c r="L59">
        <v>0</v>
      </c>
    </row>
    <row r="60" spans="1:12" x14ac:dyDescent="0.4">
      <c r="A60">
        <v>48</v>
      </c>
      <c r="B60">
        <f t="shared" si="0"/>
        <v>25.306613226452907</v>
      </c>
      <c r="C60">
        <f t="shared" si="5"/>
        <v>0.4274622120768532</v>
      </c>
      <c r="D60">
        <f t="shared" si="6"/>
        <v>90.832767739888581</v>
      </c>
      <c r="E60">
        <f t="shared" si="1"/>
        <v>31.930309516829254</v>
      </c>
      <c r="F60">
        <f t="shared" si="7"/>
        <v>19.413694215010885</v>
      </c>
      <c r="G60">
        <f t="shared" si="8"/>
        <v>41.057721447955288</v>
      </c>
      <c r="H60">
        <f t="shared" si="2"/>
        <v>2844.053011520788</v>
      </c>
      <c r="J60">
        <f t="shared" si="3"/>
        <v>1.9413694215010886</v>
      </c>
      <c r="K60">
        <f t="shared" si="4"/>
        <v>4.1057721447955284</v>
      </c>
      <c r="L60">
        <v>0</v>
      </c>
    </row>
    <row r="61" spans="1:12" x14ac:dyDescent="0.4">
      <c r="A61">
        <v>49</v>
      </c>
      <c r="B61">
        <f t="shared" si="0"/>
        <v>25.250501002004007</v>
      </c>
      <c r="C61">
        <f t="shared" si="5"/>
        <v>0.42657664856261784</v>
      </c>
      <c r="D61">
        <f t="shared" si="6"/>
        <v>90.867827840048832</v>
      </c>
      <c r="E61">
        <f t="shared" si="1"/>
        <v>31.940835578973577</v>
      </c>
      <c r="F61">
        <f t="shared" si="7"/>
        <v>19.34404690845486</v>
      </c>
      <c r="G61">
        <f t="shared" si="8"/>
        <v>41.014318682812039</v>
      </c>
      <c r="H61">
        <f t="shared" si="2"/>
        <v>2726.9866743033108</v>
      </c>
      <c r="J61">
        <f t="shared" si="3"/>
        <v>1.9344046908454859</v>
      </c>
      <c r="K61">
        <f t="shared" si="4"/>
        <v>4.1014318682812041</v>
      </c>
      <c r="L61">
        <v>0</v>
      </c>
    </row>
    <row r="62" spans="1:12" x14ac:dyDescent="0.4">
      <c r="A62">
        <v>50</v>
      </c>
      <c r="B62">
        <f t="shared" si="0"/>
        <v>25.194388777555112</v>
      </c>
      <c r="C62">
        <f t="shared" si="5"/>
        <v>0.42569067591327298</v>
      </c>
      <c r="D62">
        <f t="shared" si="6"/>
        <v>90.903610828872175</v>
      </c>
      <c r="E62">
        <f t="shared" si="1"/>
        <v>31.951000196786353</v>
      </c>
      <c r="F62">
        <f t="shared" si="7"/>
        <v>19.274599012832731</v>
      </c>
      <c r="G62">
        <f t="shared" si="8"/>
        <v>40.971022471013235</v>
      </c>
      <c r="H62">
        <f t="shared" si="2"/>
        <v>2616.9327588949632</v>
      </c>
      <c r="J62">
        <f t="shared" si="3"/>
        <v>1.9274599012832732</v>
      </c>
      <c r="K62">
        <f t="shared" si="4"/>
        <v>4.0971022471013239</v>
      </c>
      <c r="L62">
        <v>0</v>
      </c>
    </row>
    <row r="63" spans="1:12" x14ac:dyDescent="0.4">
      <c r="A63">
        <v>51</v>
      </c>
      <c r="B63">
        <f t="shared" si="0"/>
        <v>25.138276553106213</v>
      </c>
      <c r="C63">
        <f t="shared" si="5"/>
        <v>0.42480429497856609</v>
      </c>
      <c r="D63">
        <f t="shared" si="6"/>
        <v>90.940116706358594</v>
      </c>
      <c r="E63">
        <f t="shared" si="1"/>
        <v>31.960803370267598</v>
      </c>
      <c r="F63">
        <f t="shared" si="7"/>
        <v>19.205350030383791</v>
      </c>
      <c r="G63">
        <f t="shared" si="8"/>
        <v>40.92783320657631</v>
      </c>
      <c r="H63">
        <f t="shared" si="2"/>
        <v>2513.3442615241675</v>
      </c>
      <c r="J63">
        <f t="shared" si="3"/>
        <v>1.920535003038379</v>
      </c>
      <c r="K63">
        <f t="shared" si="4"/>
        <v>4.092783320657631</v>
      </c>
      <c r="L63">
        <v>0</v>
      </c>
    </row>
    <row r="64" spans="1:12" x14ac:dyDescent="0.4">
      <c r="A64">
        <v>52</v>
      </c>
      <c r="B64">
        <f t="shared" si="0"/>
        <v>25.082164328657313</v>
      </c>
      <c r="C64">
        <f t="shared" si="5"/>
        <v>0.42391750660863659</v>
      </c>
      <c r="D64">
        <f t="shared" si="6"/>
        <v>90.977345472508134</v>
      </c>
      <c r="E64">
        <f t="shared" si="1"/>
        <v>31.970245099417276</v>
      </c>
      <c r="F64">
        <f t="shared" si="7"/>
        <v>19.136299459855127</v>
      </c>
      <c r="G64">
        <f t="shared" si="8"/>
        <v>40.88475127617717</v>
      </c>
      <c r="H64">
        <f t="shared" si="2"/>
        <v>2415.726403209158</v>
      </c>
      <c r="J64">
        <f t="shared" si="3"/>
        <v>1.9136299459855128</v>
      </c>
      <c r="K64">
        <f t="shared" si="4"/>
        <v>4.0884751276177171</v>
      </c>
      <c r="L64">
        <v>0</v>
      </c>
    </row>
    <row r="65" spans="1:12" x14ac:dyDescent="0.4">
      <c r="A65">
        <v>53</v>
      </c>
      <c r="B65">
        <f t="shared" si="0"/>
        <v>25.026052104208418</v>
      </c>
      <c r="C65">
        <f t="shared" si="5"/>
        <v>0.42303031165401439</v>
      </c>
      <c r="D65">
        <f t="shared" si="6"/>
        <v>91.015297127320764</v>
      </c>
      <c r="E65">
        <f t="shared" si="1"/>
        <v>31.979325384235409</v>
      </c>
      <c r="F65">
        <f t="shared" si="7"/>
        <v>19.067446796560173</v>
      </c>
      <c r="G65">
        <f t="shared" si="8"/>
        <v>40.841777059191301</v>
      </c>
      <c r="H65">
        <f t="shared" si="2"/>
        <v>2323.6307636360029</v>
      </c>
      <c r="J65">
        <f t="shared" si="3"/>
        <v>1.9067446796560172</v>
      </c>
      <c r="K65">
        <f t="shared" si="4"/>
        <v>4.0841777059191298</v>
      </c>
      <c r="L65">
        <v>0</v>
      </c>
    </row>
    <row r="66" spans="1:12" x14ac:dyDescent="0.4">
      <c r="A66">
        <v>54</v>
      </c>
      <c r="B66">
        <f t="shared" si="0"/>
        <v>24.969939879759519</v>
      </c>
      <c r="C66">
        <f t="shared" si="5"/>
        <v>0.42214271096561967</v>
      </c>
      <c r="D66">
        <f t="shared" si="6"/>
        <v>91.053971670796514</v>
      </c>
      <c r="E66">
        <f t="shared" si="1"/>
        <v>31.988044224721982</v>
      </c>
      <c r="F66">
        <f t="shared" si="7"/>
        <v>18.998791532437107</v>
      </c>
      <c r="G66">
        <f t="shared" si="8"/>
        <v>40.798910927735157</v>
      </c>
      <c r="H66">
        <f t="shared" si="2"/>
        <v>2236.6501692565948</v>
      </c>
      <c r="J66">
        <f t="shared" si="3"/>
        <v>1.8998791532437107</v>
      </c>
      <c r="K66">
        <f t="shared" si="4"/>
        <v>4.0798910927735159</v>
      </c>
      <c r="L66">
        <v>0</v>
      </c>
    </row>
    <row r="67" spans="1:12" x14ac:dyDescent="0.4">
      <c r="A67">
        <v>55</v>
      </c>
      <c r="B67">
        <f t="shared" si="0"/>
        <v>24.913827655310619</v>
      </c>
      <c r="C67">
        <f t="shared" si="5"/>
        <v>0.4212547053947614</v>
      </c>
      <c r="D67">
        <f t="shared" si="6"/>
        <v>91.093369102935313</v>
      </c>
      <c r="E67">
        <f t="shared" si="1"/>
        <v>31.996401620877037</v>
      </c>
      <c r="F67">
        <f t="shared" si="7"/>
        <v>18.930333156107057</v>
      </c>
      <c r="G67">
        <f t="shared" si="8"/>
        <v>40.756153246708038</v>
      </c>
      <c r="H67">
        <f t="shared" si="2"/>
        <v>2154.4142268170099</v>
      </c>
      <c r="J67">
        <f t="shared" si="3"/>
        <v>1.8930333156107058</v>
      </c>
      <c r="K67">
        <f t="shared" si="4"/>
        <v>4.075615324670804</v>
      </c>
      <c r="L67">
        <v>0</v>
      </c>
    </row>
    <row r="68" spans="1:12" x14ac:dyDescent="0.4">
      <c r="A68">
        <v>56</v>
      </c>
      <c r="B68">
        <f t="shared" si="0"/>
        <v>24.857715430861724</v>
      </c>
      <c r="C68">
        <f t="shared" si="5"/>
        <v>0.42036629579313722</v>
      </c>
      <c r="D68">
        <f t="shared" si="6"/>
        <v>91.133489423737245</v>
      </c>
      <c r="E68">
        <f t="shared" si="1"/>
        <v>32.004397572700512</v>
      </c>
      <c r="F68">
        <f t="shared" si="7"/>
        <v>18.862071152932067</v>
      </c>
      <c r="G68">
        <f t="shared" si="8"/>
        <v>40.713504373834411</v>
      </c>
      <c r="H68">
        <f t="shared" si="2"/>
        <v>2076.5854108599083</v>
      </c>
      <c r="J68">
        <f t="shared" si="3"/>
        <v>1.8862071152932067</v>
      </c>
      <c r="K68">
        <f t="shared" si="4"/>
        <v>4.0713504373834413</v>
      </c>
      <c r="L68">
        <v>0</v>
      </c>
    </row>
    <row r="69" spans="1:12" x14ac:dyDescent="0.4">
      <c r="A69">
        <v>57</v>
      </c>
      <c r="B69">
        <f t="shared" si="0"/>
        <v>24.801603206412825</v>
      </c>
      <c r="C69">
        <f t="shared" si="5"/>
        <v>0.41947748301283205</v>
      </c>
      <c r="D69">
        <f t="shared" si="6"/>
        <v>91.174332633202269</v>
      </c>
      <c r="E69">
        <f t="shared" si="1"/>
        <v>32.012032080192455</v>
      </c>
      <c r="F69">
        <f t="shared" si="7"/>
        <v>18.794005005072869</v>
      </c>
      <c r="G69">
        <f t="shared" si="8"/>
        <v>40.670964659706542</v>
      </c>
      <c r="H69">
        <f t="shared" si="2"/>
        <v>2002.8556280720675</v>
      </c>
      <c r="J69">
        <f t="shared" si="3"/>
        <v>1.8794005005072869</v>
      </c>
      <c r="K69">
        <f t="shared" si="4"/>
        <v>4.0670964659706543</v>
      </c>
      <c r="L69">
        <v>0</v>
      </c>
    </row>
    <row r="70" spans="1:12" x14ac:dyDescent="0.4">
      <c r="A70">
        <v>58</v>
      </c>
      <c r="B70">
        <f t="shared" si="0"/>
        <v>24.745490981963929</v>
      </c>
      <c r="C70">
        <f t="shared" si="5"/>
        <v>0.41858826790631753</v>
      </c>
      <c r="D70">
        <f t="shared" si="6"/>
        <v>91.215898731330398</v>
      </c>
      <c r="E70">
        <f t="shared" si="1"/>
        <v>32.019305143352838</v>
      </c>
      <c r="F70">
        <f t="shared" si="7"/>
        <v>18.726134191546471</v>
      </c>
      <c r="G70">
        <f t="shared" si="8"/>
        <v>40.628534447827612</v>
      </c>
      <c r="H70">
        <f t="shared" si="2"/>
        <v>1932.9431932134701</v>
      </c>
      <c r="J70">
        <f t="shared" si="3"/>
        <v>1.8726134191546471</v>
      </c>
      <c r="K70">
        <f t="shared" si="4"/>
        <v>4.0628534447827613</v>
      </c>
      <c r="L70">
        <v>0</v>
      </c>
    </row>
    <row r="71" spans="1:12" x14ac:dyDescent="0.4">
      <c r="A71">
        <v>59</v>
      </c>
      <c r="B71">
        <f t="shared" si="0"/>
        <v>24.68937875751503</v>
      </c>
      <c r="C71">
        <f t="shared" si="5"/>
        <v>0.41769865132645123</v>
      </c>
      <c r="D71">
        <f t="shared" si="6"/>
        <v>91.258187718121604</v>
      </c>
      <c r="E71">
        <f t="shared" si="1"/>
        <v>32.026216762181683</v>
      </c>
      <c r="F71">
        <f t="shared" si="7"/>
        <v>18.658458188283319</v>
      </c>
      <c r="G71">
        <f t="shared" si="8"/>
        <v>40.586214074655075</v>
      </c>
      <c r="H71">
        <f t="shared" si="2"/>
        <v>1866.5901612483906</v>
      </c>
      <c r="J71">
        <f t="shared" si="3"/>
        <v>1.865845818828332</v>
      </c>
      <c r="K71">
        <f t="shared" si="4"/>
        <v>4.0586214074655071</v>
      </c>
      <c r="L71">
        <v>0</v>
      </c>
    </row>
    <row r="72" spans="1:12" x14ac:dyDescent="0.4">
      <c r="A72">
        <v>60</v>
      </c>
      <c r="B72">
        <f t="shared" si="0"/>
        <v>24.633266533066134</v>
      </c>
      <c r="C72">
        <f t="shared" si="5"/>
        <v>0.4168086341264759</v>
      </c>
      <c r="D72">
        <f t="shared" si="6"/>
        <v>91.301199593575916</v>
      </c>
      <c r="E72">
        <f t="shared" si="1"/>
        <v>32.032766936678975</v>
      </c>
      <c r="F72">
        <f t="shared" si="7"/>
        <v>18.590976468184472</v>
      </c>
      <c r="G72">
        <f t="shared" si="8"/>
        <v>40.544003869644499</v>
      </c>
      <c r="H72">
        <f t="shared" si="2"/>
        <v>1803.5599685350262</v>
      </c>
      <c r="J72">
        <f t="shared" si="3"/>
        <v>1.8590976468184472</v>
      </c>
      <c r="K72">
        <f t="shared" si="4"/>
        <v>4.05440038696445</v>
      </c>
      <c r="L72">
        <v>0</v>
      </c>
    </row>
    <row r="73" spans="1:12" x14ac:dyDescent="0.4">
      <c r="A73">
        <v>61</v>
      </c>
      <c r="B73">
        <f t="shared" si="0"/>
        <v>24.577154308617235</v>
      </c>
      <c r="C73">
        <f t="shared" si="5"/>
        <v>0.41591821716001826</v>
      </c>
      <c r="D73">
        <f t="shared" si="6"/>
        <v>91.344934357693347</v>
      </c>
      <c r="E73">
        <f t="shared" si="1"/>
        <v>32.038955666844707</v>
      </c>
      <c r="F73">
        <f t="shared" si="7"/>
        <v>18.523688501178302</v>
      </c>
      <c r="G73">
        <f t="shared" si="8"/>
        <v>40.501904155293659</v>
      </c>
      <c r="H73">
        <f t="shared" si="2"/>
        <v>1743.6353428391274</v>
      </c>
      <c r="J73">
        <f t="shared" si="3"/>
        <v>1.8523688501178301</v>
      </c>
      <c r="K73">
        <f t="shared" si="4"/>
        <v>4.0501904155293662</v>
      </c>
      <c r="L73">
        <v>0</v>
      </c>
    </row>
    <row r="74" spans="1:12" x14ac:dyDescent="0.4">
      <c r="A74">
        <v>62</v>
      </c>
      <c r="B74">
        <f t="shared" si="0"/>
        <v>24.521042084168336</v>
      </c>
      <c r="C74">
        <f t="shared" si="5"/>
        <v>0.41502740128108856</v>
      </c>
      <c r="D74">
        <f t="shared" si="6"/>
        <v>91.389392010473841</v>
      </c>
      <c r="E74">
        <f t="shared" si="1"/>
        <v>32.044782952678915</v>
      </c>
      <c r="F74">
        <f t="shared" si="7"/>
        <v>18.456593754277119</v>
      </c>
      <c r="G74">
        <f t="shared" si="8"/>
        <v>40.459915247187055</v>
      </c>
      <c r="H74">
        <f t="shared" si="2"/>
        <v>1686.6164477300965</v>
      </c>
      <c r="J74">
        <f t="shared" si="3"/>
        <v>1.845659375427712</v>
      </c>
      <c r="K74">
        <f t="shared" si="4"/>
        <v>4.0459915247187057</v>
      </c>
      <c r="L74">
        <v>0</v>
      </c>
    </row>
    <row r="75" spans="1:12" x14ac:dyDescent="0.4">
      <c r="A75">
        <v>63</v>
      </c>
      <c r="B75">
        <f t="shared" si="0"/>
        <v>24.46492985971944</v>
      </c>
      <c r="C75">
        <f t="shared" si="5"/>
        <v>0.41413618734407986</v>
      </c>
      <c r="D75">
        <f t="shared" si="6"/>
        <v>91.434572551917455</v>
      </c>
      <c r="E75">
        <f t="shared" si="1"/>
        <v>32.050248794181556</v>
      </c>
      <c r="F75">
        <f t="shared" si="7"/>
        <v>18.389691691633463</v>
      </c>
      <c r="G75">
        <f t="shared" si="8"/>
        <v>40.418037454040729</v>
      </c>
      <c r="H75">
        <f t="shared" si="2"/>
        <v>1632.3192318046638</v>
      </c>
      <c r="J75">
        <f t="shared" si="3"/>
        <v>1.8389691691633463</v>
      </c>
      <c r="K75">
        <f t="shared" si="4"/>
        <v>4.0418037454040725</v>
      </c>
      <c r="L75">
        <v>0</v>
      </c>
    </row>
    <row r="76" spans="1:12" x14ac:dyDescent="0.4">
      <c r="A76">
        <v>64</v>
      </c>
      <c r="B76">
        <f t="shared" ref="B76:B139" si="9">IF(A76="",NA(),-$B$3/($B$2-1)*A76+$B$3)</f>
        <v>24.408817635270541</v>
      </c>
      <c r="C76">
        <f t="shared" ref="C76:C139" si="10">SIN(RADIANS(B76))</f>
        <v>0.41324457620376664</v>
      </c>
      <c r="D76">
        <f t="shared" si="6"/>
        <v>91.480475982024174</v>
      </c>
      <c r="E76">
        <f t="shared" ref="E76:E139" si="11">IFERROR(90-(B76+D76)/2,IF($B$2-1=A76,E75,NA()))</f>
        <v>32.055353191352644</v>
      </c>
      <c r="F76">
        <f t="shared" si="7"/>
        <v>18.322981774596052</v>
      </c>
      <c r="G76">
        <f t="shared" si="8"/>
        <v>40.376271077747333</v>
      </c>
      <c r="H76">
        <f t="shared" ref="H76:H139" si="12">IF(A76="",NA(),F76-G76/TAN(RADIANS(270-D76)))</f>
        <v>1580.5739573093881</v>
      </c>
      <c r="J76">
        <f t="shared" ref="J76:J139" si="13">IF(A76="",NA(),F76/10)</f>
        <v>1.8322981774596052</v>
      </c>
      <c r="K76">
        <f t="shared" ref="K76:K139" si="14">IF(A76="",NA(),G76/10)</f>
        <v>4.0376271077747337</v>
      </c>
      <c r="L76">
        <v>0</v>
      </c>
    </row>
    <row r="77" spans="1:12" x14ac:dyDescent="0.4">
      <c r="A77">
        <v>65</v>
      </c>
      <c r="B77">
        <f t="shared" si="9"/>
        <v>24.352705410821642</v>
      </c>
      <c r="C77">
        <f t="shared" si="10"/>
        <v>0.41235256871530468</v>
      </c>
      <c r="D77">
        <f t="shared" ref="D77:D140" si="15" xml:space="preserve"> IF(A77="", NA(), MEDIAN(90, 180, $F$3*B77^2 - ((90+$F$3*$B$3^2)/$B$3)*B77 + 180))</f>
        <v>91.527102300793985</v>
      </c>
      <c r="E77">
        <f t="shared" si="11"/>
        <v>32.060096144192187</v>
      </c>
      <c r="F77">
        <f t="shared" ref="F77:F140" si="16">IFERROR(F76*(TAN(RADIANS(E76))-TAN(RADIANS(90-B76)))/(TAN(RADIANS(E76))-TAN(RADIANS(90-B77))),IF($B$2-1=A77,0,NA()))</f>
        <v>18.256463461765598</v>
      </c>
      <c r="G77">
        <f t="shared" ref="G77:G140" si="17">IFERROR(TAN(RADIANS(90-B77))*F77,IF($B$2-1=A77,G76,NA()))</f>
        <v>40.334616413421593</v>
      </c>
      <c r="H77">
        <f t="shared" si="12"/>
        <v>1531.2238862295744</v>
      </c>
      <c r="J77">
        <f t="shared" si="13"/>
        <v>1.8256463461765597</v>
      </c>
      <c r="K77">
        <f t="shared" si="14"/>
        <v>4.0334616413421589</v>
      </c>
      <c r="L77">
        <v>0</v>
      </c>
    </row>
    <row r="78" spans="1:12" x14ac:dyDescent="0.4">
      <c r="A78">
        <v>66</v>
      </c>
      <c r="B78">
        <f t="shared" si="9"/>
        <v>24.296593186372746</v>
      </c>
      <c r="C78">
        <f t="shared" si="10"/>
        <v>0.41146016573422967</v>
      </c>
      <c r="D78">
        <f t="shared" si="15"/>
        <v>91.574451508226858</v>
      </c>
      <c r="E78">
        <f t="shared" si="11"/>
        <v>32.064477652700198</v>
      </c>
      <c r="F78">
        <f t="shared" si="16"/>
        <v>18.190136209050223</v>
      </c>
      <c r="G78">
        <f t="shared" si="17"/>
        <v>40.29307374944603</v>
      </c>
      <c r="H78">
        <f t="shared" si="12"/>
        <v>1484.1241048823254</v>
      </c>
      <c r="J78">
        <f t="shared" si="13"/>
        <v>1.8190136209050223</v>
      </c>
      <c r="K78">
        <f t="shared" si="14"/>
        <v>4.0293073749446027</v>
      </c>
      <c r="L78">
        <v>0</v>
      </c>
    </row>
    <row r="79" spans="1:12" x14ac:dyDescent="0.4">
      <c r="A79">
        <v>67</v>
      </c>
      <c r="B79">
        <f t="shared" si="9"/>
        <v>24.240480961923847</v>
      </c>
      <c r="C79">
        <f t="shared" si="10"/>
        <v>0.41056736811645661</v>
      </c>
      <c r="D79">
        <f t="shared" si="15"/>
        <v>91.622523604322865</v>
      </c>
      <c r="E79">
        <f t="shared" si="11"/>
        <v>32.068497716876642</v>
      </c>
      <c r="F79">
        <f t="shared" si="16"/>
        <v>18.123999469720712</v>
      </c>
      <c r="G79">
        <f t="shared" si="17"/>
        <v>40.251643367516955</v>
      </c>
      <c r="H79">
        <f t="shared" si="12"/>
        <v>1439.1404705817297</v>
      </c>
      <c r="J79">
        <f t="shared" si="13"/>
        <v>1.8123999469720711</v>
      </c>
      <c r="K79">
        <f t="shared" si="14"/>
        <v>4.0251643367516952</v>
      </c>
      <c r="L79">
        <v>0</v>
      </c>
    </row>
    <row r="80" spans="1:12" x14ac:dyDescent="0.4">
      <c r="A80">
        <v>68</v>
      </c>
      <c r="B80">
        <f t="shared" si="9"/>
        <v>24.184368737474948</v>
      </c>
      <c r="C80">
        <f t="shared" si="10"/>
        <v>0.40967417671827927</v>
      </c>
      <c r="D80">
        <f t="shared" si="15"/>
        <v>91.671318589081977</v>
      </c>
      <c r="E80">
        <f t="shared" si="11"/>
        <v>32.072156336721534</v>
      </c>
      <c r="F80">
        <f t="shared" si="16"/>
        <v>18.058052694465371</v>
      </c>
      <c r="G80">
        <f t="shared" si="17"/>
        <v>40.210325542690818</v>
      </c>
      <c r="H80">
        <f t="shared" si="12"/>
        <v>1396.1486661053953</v>
      </c>
      <c r="J80">
        <f t="shared" si="13"/>
        <v>1.805805269446537</v>
      </c>
      <c r="K80">
        <f t="shared" si="14"/>
        <v>4.0210325542690821</v>
      </c>
      <c r="L80">
        <v>0</v>
      </c>
    </row>
    <row r="81" spans="1:12" x14ac:dyDescent="0.4">
      <c r="A81">
        <v>69</v>
      </c>
      <c r="B81">
        <f t="shared" si="9"/>
        <v>24.128256513026052</v>
      </c>
      <c r="C81">
        <f t="shared" si="10"/>
        <v>0.40878059239636888</v>
      </c>
      <c r="D81">
        <f t="shared" si="15"/>
        <v>91.720836462504181</v>
      </c>
      <c r="E81">
        <f t="shared" si="11"/>
        <v>32.075453512234887</v>
      </c>
      <c r="F81">
        <f t="shared" si="16"/>
        <v>17.99229533144463</v>
      </c>
      <c r="G81">
        <f t="shared" si="17"/>
        <v>40.169120543430637</v>
      </c>
      <c r="H81">
        <f t="shared" si="12"/>
        <v>1355.0333495393145</v>
      </c>
      <c r="J81">
        <f t="shared" si="13"/>
        <v>1.799229533144463</v>
      </c>
      <c r="K81">
        <f t="shared" si="14"/>
        <v>4.0169120543430639</v>
      </c>
      <c r="L81">
        <v>0</v>
      </c>
    </row>
    <row r="82" spans="1:12" x14ac:dyDescent="0.4">
      <c r="A82">
        <v>70</v>
      </c>
      <c r="B82">
        <f t="shared" si="9"/>
        <v>24.072144288577153</v>
      </c>
      <c r="C82">
        <f t="shared" si="10"/>
        <v>0.40788661600777348</v>
      </c>
      <c r="D82">
        <f t="shared" si="15"/>
        <v>91.771077224589447</v>
      </c>
      <c r="E82">
        <f t="shared" si="11"/>
        <v>32.078389243416702</v>
      </c>
      <c r="F82">
        <f t="shared" si="16"/>
        <v>17.926726826345366</v>
      </c>
      <c r="G82">
        <f t="shared" si="17"/>
        <v>40.128028631652931</v>
      </c>
      <c r="H82">
        <f t="shared" si="12"/>
        <v>1315.6873886667918</v>
      </c>
      <c r="J82">
        <f t="shared" si="13"/>
        <v>1.7926726826345365</v>
      </c>
      <c r="K82">
        <f t="shared" si="14"/>
        <v>4.0128028631652928</v>
      </c>
      <c r="L82">
        <v>0</v>
      </c>
    </row>
    <row r="83" spans="1:12" x14ac:dyDescent="0.4">
      <c r="A83">
        <v>71</v>
      </c>
      <c r="B83">
        <f t="shared" si="9"/>
        <v>24.016032064128257</v>
      </c>
      <c r="C83">
        <f t="shared" si="10"/>
        <v>0.40699224840991738</v>
      </c>
      <c r="D83">
        <f t="shared" si="15"/>
        <v>91.822040875337834</v>
      </c>
      <c r="E83">
        <f t="shared" si="11"/>
        <v>32.080963530266956</v>
      </c>
      <c r="F83">
        <f t="shared" si="16"/>
        <v>17.861346622434951</v>
      </c>
      <c r="G83">
        <f t="shared" si="17"/>
        <v>40.087050062774701</v>
      </c>
      <c r="H83">
        <f t="shared" si="12"/>
        <v>1278.0111704313958</v>
      </c>
      <c r="J83">
        <f t="shared" si="13"/>
        <v>1.786134662243495</v>
      </c>
      <c r="K83">
        <f t="shared" si="14"/>
        <v>4.0087050062774701</v>
      </c>
      <c r="L83">
        <v>0</v>
      </c>
    </row>
    <row r="84" spans="1:12" x14ac:dyDescent="0.4">
      <c r="A84">
        <v>72</v>
      </c>
      <c r="B84">
        <f t="shared" si="9"/>
        <v>23.959919839679358</v>
      </c>
      <c r="C84">
        <f t="shared" si="10"/>
        <v>0.40609749046059973</v>
      </c>
      <c r="D84">
        <f t="shared" si="15"/>
        <v>91.873727414749339</v>
      </c>
      <c r="E84">
        <f t="shared" si="11"/>
        <v>32.083176372785651</v>
      </c>
      <c r="F84">
        <f t="shared" si="16"/>
        <v>17.796154160614819</v>
      </c>
      <c r="G84">
        <f t="shared" si="17"/>
        <v>40.046185085760683</v>
      </c>
      <c r="H84">
        <f t="shared" si="12"/>
        <v>1241.9119771803221</v>
      </c>
      <c r="J84">
        <f t="shared" si="13"/>
        <v>1.7796154160614819</v>
      </c>
      <c r="K84">
        <f t="shared" si="14"/>
        <v>4.0046185085760682</v>
      </c>
      <c r="L84">
        <v>0</v>
      </c>
    </row>
    <row r="85" spans="1:12" x14ac:dyDescent="0.4">
      <c r="A85">
        <v>73</v>
      </c>
      <c r="B85">
        <f t="shared" si="9"/>
        <v>23.903807615230463</v>
      </c>
      <c r="C85">
        <f t="shared" si="10"/>
        <v>0.40520234301799457</v>
      </c>
      <c r="D85">
        <f t="shared" si="15"/>
        <v>91.926136842823922</v>
      </c>
      <c r="E85">
        <f t="shared" si="11"/>
        <v>32.085027770972808</v>
      </c>
      <c r="F85">
        <f t="shared" si="16"/>
        <v>17.731148879473984</v>
      </c>
      <c r="G85">
        <f t="shared" si="17"/>
        <v>40.005433943170928</v>
      </c>
      <c r="H85">
        <f t="shared" si="12"/>
        <v>1207.3034224110208</v>
      </c>
      <c r="J85">
        <f t="shared" si="13"/>
        <v>1.7731148879473984</v>
      </c>
      <c r="K85">
        <f t="shared" si="14"/>
        <v>4.0005433943170932</v>
      </c>
      <c r="L85">
        <v>0</v>
      </c>
    </row>
    <row r="86" spans="1:12" x14ac:dyDescent="0.4">
      <c r="A86">
        <v>74</v>
      </c>
      <c r="B86">
        <f t="shared" si="9"/>
        <v>23.847695390781563</v>
      </c>
      <c r="C86">
        <f t="shared" si="10"/>
        <v>0.40430680694064908</v>
      </c>
      <c r="D86">
        <f t="shared" si="15"/>
        <v>91.979269159561596</v>
      </c>
      <c r="E86">
        <f t="shared" si="11"/>
        <v>32.086517724828418</v>
      </c>
      <c r="F86">
        <f t="shared" si="16"/>
        <v>17.666330215342043</v>
      </c>
      <c r="G86">
        <f t="shared" si="17"/>
        <v>39.964796871208463</v>
      </c>
      <c r="H86">
        <f t="shared" si="12"/>
        <v>1174.1049396240278</v>
      </c>
      <c r="J86">
        <f t="shared" si="13"/>
        <v>1.7666330215342043</v>
      </c>
      <c r="K86">
        <f t="shared" si="14"/>
        <v>3.9964796871208463</v>
      </c>
      <c r="L86">
        <v>0</v>
      </c>
    </row>
    <row r="87" spans="1:12" x14ac:dyDescent="0.4">
      <c r="A87">
        <v>75</v>
      </c>
      <c r="B87">
        <f t="shared" si="9"/>
        <v>23.791583166332664</v>
      </c>
      <c r="C87">
        <f t="shared" si="10"/>
        <v>0.40341088308748335</v>
      </c>
      <c r="D87">
        <f t="shared" si="15"/>
        <v>92.03312436496239</v>
      </c>
      <c r="E87">
        <f t="shared" si="11"/>
        <v>32.087646234352476</v>
      </c>
      <c r="F87">
        <f t="shared" si="16"/>
        <v>17.601697602341897</v>
      </c>
      <c r="G87">
        <f t="shared" si="17"/>
        <v>39.924274099767231</v>
      </c>
      <c r="H87">
        <f t="shared" si="12"/>
        <v>1142.2413186480039</v>
      </c>
      <c r="J87">
        <f t="shared" si="13"/>
        <v>1.7601697602341897</v>
      </c>
      <c r="K87">
        <f t="shared" si="14"/>
        <v>3.992427409976723</v>
      </c>
      <c r="L87">
        <v>0</v>
      </c>
    </row>
    <row r="88" spans="1:12" x14ac:dyDescent="0.4">
      <c r="A88">
        <v>76</v>
      </c>
      <c r="B88">
        <f t="shared" si="9"/>
        <v>23.735470941883769</v>
      </c>
      <c r="C88">
        <f t="shared" si="10"/>
        <v>0.40251457231778948</v>
      </c>
      <c r="D88">
        <f t="shared" si="15"/>
        <v>92.087702459026275</v>
      </c>
      <c r="E88">
        <f t="shared" si="11"/>
        <v>32.088413299544982</v>
      </c>
      <c r="F88">
        <f t="shared" si="16"/>
        <v>17.537250472442278</v>
      </c>
      <c r="G88">
        <f t="shared" si="17"/>
        <v>39.883865852480248</v>
      </c>
      <c r="H88">
        <f t="shared" si="12"/>
        <v>1111.6422844662916</v>
      </c>
      <c r="J88">
        <f t="shared" si="13"/>
        <v>1.7537250472442278</v>
      </c>
      <c r="K88">
        <f t="shared" si="14"/>
        <v>3.9883865852480249</v>
      </c>
      <c r="L88">
        <v>0</v>
      </c>
    </row>
    <row r="89" spans="1:12" x14ac:dyDescent="0.4">
      <c r="A89">
        <v>77</v>
      </c>
      <c r="B89">
        <f t="shared" si="9"/>
        <v>23.679358717434869</v>
      </c>
      <c r="C89">
        <f t="shared" si="10"/>
        <v>0.40161787549123046</v>
      </c>
      <c r="D89">
        <f t="shared" si="15"/>
        <v>92.143003441753251</v>
      </c>
      <c r="E89">
        <f t="shared" si="11"/>
        <v>32.088818920405942</v>
      </c>
      <c r="F89">
        <f t="shared" si="16"/>
        <v>17.472988255509641</v>
      </c>
      <c r="G89">
        <f t="shared" si="17"/>
        <v>39.843572346767793</v>
      </c>
      <c r="H89">
        <f t="shared" si="12"/>
        <v>1082.2421141524085</v>
      </c>
      <c r="J89">
        <f t="shared" si="13"/>
        <v>1.7472988255509641</v>
      </c>
      <c r="K89">
        <f t="shared" si="14"/>
        <v>3.9843572346767795</v>
      </c>
      <c r="L89">
        <v>0</v>
      </c>
    </row>
    <row r="90" spans="1:12" x14ac:dyDescent="0.4">
      <c r="A90">
        <v>78</v>
      </c>
      <c r="B90">
        <f t="shared" si="9"/>
        <v>23.62324649298597</v>
      </c>
      <c r="C90">
        <f t="shared" si="10"/>
        <v>0.40072079346783973</v>
      </c>
      <c r="D90">
        <f t="shared" si="15"/>
        <v>92.199027313143318</v>
      </c>
      <c r="E90">
        <f t="shared" si="11"/>
        <v>32.088863096935356</v>
      </c>
      <c r="F90">
        <f t="shared" si="16"/>
        <v>17.408910379360098</v>
      </c>
      <c r="G90">
        <f t="shared" si="17"/>
        <v>39.803393793885995</v>
      </c>
      <c r="H90">
        <f t="shared" si="12"/>
        <v>1053.9792880255955</v>
      </c>
      <c r="J90">
        <f t="shared" si="13"/>
        <v>1.7408910379360099</v>
      </c>
      <c r="K90">
        <f t="shared" si="14"/>
        <v>3.9803393793885995</v>
      </c>
      <c r="L90">
        <v>0</v>
      </c>
    </row>
    <row r="91" spans="1:12" x14ac:dyDescent="0.4">
      <c r="A91">
        <v>79</v>
      </c>
      <c r="B91">
        <f t="shared" si="9"/>
        <v>23.567134268537075</v>
      </c>
      <c r="C91">
        <f t="shared" si="10"/>
        <v>0.3998233271080201</v>
      </c>
      <c r="D91">
        <f t="shared" si="15"/>
        <v>92.255774073196491</v>
      </c>
      <c r="E91">
        <f t="shared" si="11"/>
        <v>32.088545829133217</v>
      </c>
      <c r="F91">
        <f t="shared" si="16"/>
        <v>17.345016269810738</v>
      </c>
      <c r="G91">
        <f t="shared" si="17"/>
        <v>39.763330398975434</v>
      </c>
      <c r="H91">
        <f t="shared" si="12"/>
        <v>1026.7961715784363</v>
      </c>
      <c r="J91">
        <f t="shared" si="13"/>
        <v>1.7345016269810738</v>
      </c>
      <c r="K91">
        <f t="shared" si="14"/>
        <v>3.9763330398975434</v>
      </c>
      <c r="L91">
        <v>0</v>
      </c>
    </row>
    <row r="92" spans="1:12" x14ac:dyDescent="0.4">
      <c r="A92">
        <v>80</v>
      </c>
      <c r="B92">
        <f t="shared" si="9"/>
        <v>23.511022044088175</v>
      </c>
      <c r="C92">
        <f t="shared" si="10"/>
        <v>0.39892547727254302</v>
      </c>
      <c r="D92">
        <f t="shared" si="15"/>
        <v>92.31324372191277</v>
      </c>
      <c r="E92">
        <f t="shared" si="11"/>
        <v>32.087867116999526</v>
      </c>
      <c r="F92">
        <f t="shared" si="16"/>
        <v>17.281305350730733</v>
      </c>
      <c r="G92">
        <f t="shared" si="17"/>
        <v>39.723382361109913</v>
      </c>
      <c r="H92">
        <f t="shared" si="12"/>
        <v>1000.6387251145626</v>
      </c>
      <c r="J92">
        <f t="shared" si="13"/>
        <v>1.7281305350730733</v>
      </c>
      <c r="K92">
        <f t="shared" si="14"/>
        <v>3.9723382361109913</v>
      </c>
      <c r="L92">
        <v>0</v>
      </c>
    </row>
    <row r="93" spans="1:12" x14ac:dyDescent="0.4">
      <c r="A93">
        <v>81</v>
      </c>
      <c r="B93">
        <f t="shared" si="9"/>
        <v>23.45490981963928</v>
      </c>
      <c r="C93">
        <f t="shared" si="10"/>
        <v>0.3980272448225477</v>
      </c>
      <c r="D93">
        <f t="shared" si="15"/>
        <v>92.371436259292125</v>
      </c>
      <c r="E93">
        <f t="shared" si="11"/>
        <v>32.086826960534296</v>
      </c>
      <c r="F93">
        <f t="shared" si="16"/>
        <v>17.217777044091992</v>
      </c>
      <c r="G93">
        <f t="shared" si="17"/>
        <v>39.683549873345406</v>
      </c>
      <c r="H93">
        <f t="shared" si="12"/>
        <v>975.45623837242181</v>
      </c>
      <c r="J93">
        <f t="shared" si="13"/>
        <v>1.7217777044091993</v>
      </c>
      <c r="K93">
        <f t="shared" si="14"/>
        <v>3.9683549873345405</v>
      </c>
      <c r="L93">
        <v>0</v>
      </c>
    </row>
    <row r="94" spans="1:12" x14ac:dyDescent="0.4">
      <c r="A94">
        <v>82</v>
      </c>
      <c r="B94">
        <f t="shared" si="9"/>
        <v>23.398797595190381</v>
      </c>
      <c r="C94">
        <f t="shared" si="10"/>
        <v>0.3971286306195404</v>
      </c>
      <c r="D94">
        <f t="shared" si="15"/>
        <v>92.430351685334585</v>
      </c>
      <c r="E94">
        <f t="shared" si="11"/>
        <v>32.085425359737513</v>
      </c>
      <c r="F94">
        <f t="shared" si="16"/>
        <v>17.154430770019626</v>
      </c>
      <c r="G94">
        <f t="shared" si="17"/>
        <v>39.643833122769152</v>
      </c>
      <c r="H94">
        <f t="shared" si="12"/>
        <v>951.20108770909383</v>
      </c>
      <c r="J94">
        <f t="shared" si="13"/>
        <v>1.7154430770019626</v>
      </c>
      <c r="K94">
        <f t="shared" si="14"/>
        <v>3.9643833122769152</v>
      </c>
      <c r="L94">
        <v>0</v>
      </c>
    </row>
    <row r="95" spans="1:12" x14ac:dyDescent="0.4">
      <c r="A95">
        <v>83</v>
      </c>
      <c r="B95">
        <f t="shared" si="9"/>
        <v>23.342685370741485</v>
      </c>
      <c r="C95">
        <f t="shared" si="10"/>
        <v>0.39622963552539342</v>
      </c>
      <c r="D95">
        <f t="shared" si="15"/>
        <v>92.489990000040137</v>
      </c>
      <c r="E95">
        <f t="shared" si="11"/>
        <v>32.083662314609185</v>
      </c>
      <c r="F95">
        <f t="shared" si="16"/>
        <v>17.091265946841919</v>
      </c>
      <c r="G95">
        <f t="shared" si="17"/>
        <v>39.604232290548872</v>
      </c>
      <c r="H95">
        <f t="shared" si="12"/>
        <v>927.82851367977651</v>
      </c>
      <c r="J95">
        <f t="shared" si="13"/>
        <v>1.7091265946841918</v>
      </c>
      <c r="K95">
        <f t="shared" si="14"/>
        <v>3.9604232290548871</v>
      </c>
      <c r="L95">
        <v>0</v>
      </c>
    </row>
    <row r="96" spans="1:12" x14ac:dyDescent="0.4">
      <c r="A96">
        <v>84</v>
      </c>
      <c r="B96">
        <f t="shared" si="9"/>
        <v>23.286573146292586</v>
      </c>
      <c r="C96">
        <f t="shared" si="10"/>
        <v>0.39533026040234448</v>
      </c>
      <c r="D96">
        <f t="shared" si="15"/>
        <v>92.550351203408837</v>
      </c>
      <c r="E96">
        <f t="shared" si="11"/>
        <v>32.08153782514929</v>
      </c>
      <c r="F96">
        <f t="shared" si="16"/>
        <v>17.028281991139973</v>
      </c>
      <c r="G96">
        <f t="shared" si="17"/>
        <v>39.564747551982023</v>
      </c>
      <c r="H96">
        <f t="shared" si="12"/>
        <v>905.29641707888175</v>
      </c>
      <c r="J96">
        <f t="shared" si="13"/>
        <v>1.7028281991139973</v>
      </c>
      <c r="K96">
        <f t="shared" si="14"/>
        <v>3.9564747551982022</v>
      </c>
      <c r="L96">
        <v>0</v>
      </c>
    </row>
    <row r="97" spans="1:12" x14ac:dyDescent="0.4">
      <c r="A97">
        <v>85</v>
      </c>
      <c r="B97">
        <f t="shared" si="9"/>
        <v>23.230460921843687</v>
      </c>
      <c r="C97">
        <f t="shared" si="10"/>
        <v>0.39443050611299568</v>
      </c>
      <c r="D97">
        <f t="shared" si="15"/>
        <v>92.611435295440572</v>
      </c>
      <c r="E97">
        <f t="shared" si="11"/>
        <v>32.079051891357871</v>
      </c>
      <c r="F97">
        <f t="shared" si="16"/>
        <v>16.965478317797078</v>
      </c>
      <c r="G97">
        <f t="shared" si="17"/>
        <v>39.525379076545327</v>
      </c>
      <c r="H97">
        <f t="shared" si="12"/>
        <v>883.56517171334872</v>
      </c>
      <c r="J97">
        <f t="shared" si="13"/>
        <v>1.6965478317797078</v>
      </c>
      <c r="K97">
        <f t="shared" si="14"/>
        <v>3.9525379076545328</v>
      </c>
      <c r="L97">
        <v>0</v>
      </c>
    </row>
    <row r="98" spans="1:12" x14ac:dyDescent="0.4">
      <c r="A98">
        <v>86</v>
      </c>
      <c r="B98">
        <f t="shared" si="9"/>
        <v>23.174348697394791</v>
      </c>
      <c r="C98">
        <f t="shared" si="10"/>
        <v>0.39353037352031289</v>
      </c>
      <c r="D98">
        <f t="shared" si="15"/>
        <v>92.673242276135426</v>
      </c>
      <c r="E98">
        <f t="shared" si="11"/>
        <v>32.076204513234892</v>
      </c>
      <c r="F98">
        <f t="shared" si="16"/>
        <v>16.902854340047572</v>
      </c>
      <c r="G98">
        <f t="shared" si="17"/>
        <v>39.486127027944228</v>
      </c>
      <c r="H98">
        <f t="shared" si="12"/>
        <v>862.59745235779167</v>
      </c>
      <c r="J98">
        <f t="shared" si="13"/>
        <v>1.6902854340047573</v>
      </c>
      <c r="K98">
        <f t="shared" si="14"/>
        <v>3.9486127027944229</v>
      </c>
      <c r="L98">
        <v>0</v>
      </c>
    </row>
    <row r="99" spans="1:12" x14ac:dyDescent="0.4">
      <c r="A99">
        <v>87</v>
      </c>
      <c r="B99">
        <f t="shared" si="9"/>
        <v>23.118236472945892</v>
      </c>
      <c r="C99">
        <f t="shared" si="10"/>
        <v>0.3926298634876248</v>
      </c>
      <c r="D99">
        <f t="shared" si="15"/>
        <v>92.735772145493399</v>
      </c>
      <c r="E99">
        <f t="shared" si="11"/>
        <v>32.072995690780353</v>
      </c>
      <c r="F99">
        <f t="shared" si="16"/>
        <v>16.840409469525422</v>
      </c>
      <c r="G99">
        <f t="shared" si="17"/>
        <v>39.446991564162509</v>
      </c>
      <c r="H99">
        <f t="shared" si="12"/>
        <v>842.35807650203094</v>
      </c>
      <c r="J99">
        <f t="shared" si="13"/>
        <v>1.6840409469525421</v>
      </c>
      <c r="K99">
        <f t="shared" si="14"/>
        <v>3.944699156416251</v>
      </c>
      <c r="L99">
        <v>0</v>
      </c>
    </row>
    <row r="100" spans="1:12" x14ac:dyDescent="0.4">
      <c r="A100">
        <v>88</v>
      </c>
      <c r="B100">
        <f t="shared" si="9"/>
        <v>23.062124248496993</v>
      </c>
      <c r="C100">
        <f t="shared" si="10"/>
        <v>0.39172897687862201</v>
      </c>
      <c r="D100">
        <f t="shared" si="15"/>
        <v>92.79902490351445</v>
      </c>
      <c r="E100">
        <f t="shared" si="11"/>
        <v>32.069425423994275</v>
      </c>
      <c r="F100">
        <f t="shared" si="16"/>
        <v>16.778143116312485</v>
      </c>
      <c r="G100">
        <f t="shared" si="17"/>
        <v>39.407972837512084</v>
      </c>
      <c r="H100">
        <f t="shared" si="12"/>
        <v>822.81385864178378</v>
      </c>
      <c r="J100">
        <f t="shared" si="13"/>
        <v>1.6778143116312485</v>
      </c>
      <c r="K100">
        <f t="shared" si="14"/>
        <v>3.9407972837512082</v>
      </c>
      <c r="L100">
        <v>0</v>
      </c>
    </row>
    <row r="101" spans="1:12" x14ac:dyDescent="0.4">
      <c r="A101">
        <v>89</v>
      </c>
      <c r="B101">
        <f t="shared" si="9"/>
        <v>23.006012024048097</v>
      </c>
      <c r="C101">
        <f t="shared" si="10"/>
        <v>0.39082771455735649</v>
      </c>
      <c r="D101">
        <f t="shared" si="15"/>
        <v>92.863000550198578</v>
      </c>
      <c r="E101">
        <f t="shared" si="11"/>
        <v>32.065493712876659</v>
      </c>
      <c r="F101">
        <f t="shared" si="16"/>
        <v>16.716054688986318</v>
      </c>
      <c r="G101">
        <f t="shared" si="17"/>
        <v>39.369070994682694</v>
      </c>
      <c r="H101">
        <f t="shared" si="12"/>
        <v>803.93347598996638</v>
      </c>
      <c r="J101">
        <f t="shared" si="13"/>
        <v>1.6716054688986319</v>
      </c>
      <c r="K101">
        <f t="shared" si="14"/>
        <v>3.9369070994682693</v>
      </c>
      <c r="L101">
        <v>0</v>
      </c>
    </row>
    <row r="102" spans="1:12" x14ac:dyDescent="0.4">
      <c r="A102">
        <v>90</v>
      </c>
      <c r="B102">
        <f t="shared" si="9"/>
        <v>22.949899799599198</v>
      </c>
      <c r="C102">
        <f t="shared" si="10"/>
        <v>0.3899260773882402</v>
      </c>
      <c r="D102">
        <f t="shared" si="15"/>
        <v>92.927699085545839</v>
      </c>
      <c r="E102">
        <f t="shared" si="11"/>
        <v>32.061200557427483</v>
      </c>
      <c r="F102">
        <f t="shared" si="16"/>
        <v>16.654143594667605</v>
      </c>
      <c r="G102">
        <f t="shared" si="17"/>
        <v>39.330286176791795</v>
      </c>
      <c r="H102">
        <f t="shared" si="12"/>
        <v>785.6873445972617</v>
      </c>
      <c r="J102">
        <f t="shared" si="13"/>
        <v>1.6654143594667605</v>
      </c>
      <c r="K102">
        <f t="shared" si="14"/>
        <v>3.9330286176791796</v>
      </c>
      <c r="L102">
        <v>0</v>
      </c>
    </row>
    <row r="103" spans="1:12" x14ac:dyDescent="0.4">
      <c r="A103">
        <v>91</v>
      </c>
      <c r="B103">
        <f t="shared" si="9"/>
        <v>22.893787575150299</v>
      </c>
      <c r="C103">
        <f t="shared" si="10"/>
        <v>0.38902406623604507</v>
      </c>
      <c r="D103">
        <f t="shared" si="15"/>
        <v>92.993120509556178</v>
      </c>
      <c r="E103">
        <f t="shared" si="11"/>
        <v>32.056545957646762</v>
      </c>
      <c r="F103">
        <f t="shared" si="16"/>
        <v>16.592409239067255</v>
      </c>
      <c r="G103">
        <f t="shared" si="17"/>
        <v>39.291618519434444</v>
      </c>
      <c r="H103">
        <f t="shared" si="12"/>
        <v>768.04750497060184</v>
      </c>
      <c r="J103">
        <f t="shared" si="13"/>
        <v>1.6592409239067254</v>
      </c>
      <c r="K103">
        <f t="shared" si="14"/>
        <v>3.9291618519434444</v>
      </c>
      <c r="L103">
        <v>0</v>
      </c>
    </row>
    <row r="104" spans="1:12" x14ac:dyDescent="0.4">
      <c r="A104">
        <v>92</v>
      </c>
      <c r="B104">
        <f t="shared" si="9"/>
        <v>22.837675350701403</v>
      </c>
      <c r="C104">
        <f t="shared" si="10"/>
        <v>0.38812168196590152</v>
      </c>
      <c r="D104">
        <f t="shared" si="15"/>
        <v>93.059264822229636</v>
      </c>
      <c r="E104">
        <f t="shared" si="11"/>
        <v>32.05152991353448</v>
      </c>
      <c r="F104">
        <f t="shared" si="16"/>
        <v>16.530851026533085</v>
      </c>
      <c r="G104">
        <f t="shared" si="17"/>
        <v>39.253068152733249</v>
      </c>
      <c r="H104">
        <f t="shared" si="12"/>
        <v>750.98751636662678</v>
      </c>
      <c r="J104">
        <f t="shared" si="13"/>
        <v>1.6530851026533084</v>
      </c>
      <c r="K104">
        <f t="shared" si="14"/>
        <v>3.9253068152733248</v>
      </c>
      <c r="L104">
        <v>0</v>
      </c>
    </row>
    <row r="105" spans="1:12" x14ac:dyDescent="0.4">
      <c r="A105">
        <v>93</v>
      </c>
      <c r="B105">
        <f t="shared" si="9"/>
        <v>22.781563126252504</v>
      </c>
      <c r="C105">
        <f t="shared" si="10"/>
        <v>0.38721892544329772</v>
      </c>
      <c r="D105">
        <f t="shared" si="15"/>
        <v>93.126132023566157</v>
      </c>
      <c r="E105">
        <f t="shared" si="11"/>
        <v>32.046152425090668</v>
      </c>
      <c r="F105">
        <f t="shared" si="16"/>
        <v>16.46946836009618</v>
      </c>
      <c r="G105">
        <f t="shared" si="17"/>
        <v>39.214635201388383</v>
      </c>
      <c r="H105">
        <f t="shared" si="12"/>
        <v>734.48235901680687</v>
      </c>
      <c r="J105">
        <f t="shared" si="13"/>
        <v>1.646946836009618</v>
      </c>
      <c r="K105">
        <f t="shared" si="14"/>
        <v>3.9214635201388384</v>
      </c>
      <c r="L105">
        <v>0</v>
      </c>
    </row>
    <row r="106" spans="1:12" x14ac:dyDescent="0.4">
      <c r="A106">
        <v>94</v>
      </c>
      <c r="B106">
        <f t="shared" si="9"/>
        <v>22.725450901803608</v>
      </c>
      <c r="C106">
        <f t="shared" si="10"/>
        <v>0.38631579753407908</v>
      </c>
      <c r="D106">
        <f t="shared" si="15"/>
        <v>93.193722113565798</v>
      </c>
      <c r="E106">
        <f t="shared" si="11"/>
        <v>32.040413492315295</v>
      </c>
      <c r="F106">
        <f t="shared" si="16"/>
        <v>16.408260641516797</v>
      </c>
      <c r="G106">
        <f t="shared" si="17"/>
        <v>39.176319784727625</v>
      </c>
      <c r="H106">
        <f t="shared" si="12"/>
        <v>718.5083436115566</v>
      </c>
      <c r="J106">
        <f t="shared" si="13"/>
        <v>1.6408260641516796</v>
      </c>
      <c r="K106">
        <f t="shared" si="14"/>
        <v>3.9176319784727625</v>
      </c>
      <c r="L106">
        <v>0</v>
      </c>
    </row>
    <row r="107" spans="1:12" x14ac:dyDescent="0.4">
      <c r="A107">
        <v>95</v>
      </c>
      <c r="B107">
        <f t="shared" si="9"/>
        <v>22.669338677354709</v>
      </c>
      <c r="C107">
        <f t="shared" si="10"/>
        <v>0.38541229910444691</v>
      </c>
      <c r="D107">
        <f t="shared" si="15"/>
        <v>93.262035092228544</v>
      </c>
      <c r="E107">
        <f t="shared" si="11"/>
        <v>32.034313115208377</v>
      </c>
      <c r="F107">
        <f t="shared" si="16"/>
        <v>16.347227271329928</v>
      </c>
      <c r="G107">
        <f t="shared" si="17"/>
        <v>39.138122016756355</v>
      </c>
      <c r="H107">
        <f t="shared" si="12"/>
        <v>703.04302743430003</v>
      </c>
      <c r="J107">
        <f t="shared" si="13"/>
        <v>1.6347227271329927</v>
      </c>
      <c r="K107">
        <f t="shared" si="14"/>
        <v>3.9138122016756354</v>
      </c>
      <c r="L107">
        <v>0</v>
      </c>
    </row>
    <row r="108" spans="1:12" x14ac:dyDescent="0.4">
      <c r="A108">
        <v>96</v>
      </c>
      <c r="B108">
        <f t="shared" si="9"/>
        <v>22.613226452905813</v>
      </c>
      <c r="C108">
        <f t="shared" si="10"/>
        <v>0.38450843102095833</v>
      </c>
      <c r="D108">
        <f t="shared" si="15"/>
        <v>93.331070959554381</v>
      </c>
      <c r="E108">
        <f t="shared" si="11"/>
        <v>32.027851293769899</v>
      </c>
      <c r="F108">
        <f t="shared" si="16"/>
        <v>16.286367648890412</v>
      </c>
      <c r="G108">
        <f t="shared" si="17"/>
        <v>39.100042006207673</v>
      </c>
      <c r="H108">
        <f t="shared" si="12"/>
        <v>688.0651365932639</v>
      </c>
      <c r="J108">
        <f t="shared" si="13"/>
        <v>1.6286367648890412</v>
      </c>
      <c r="K108">
        <f t="shared" si="14"/>
        <v>3.9100042006207674</v>
      </c>
      <c r="L108">
        <v>0</v>
      </c>
    </row>
    <row r="109" spans="1:12" x14ac:dyDescent="0.4">
      <c r="A109">
        <v>97</v>
      </c>
      <c r="B109">
        <f t="shared" si="9"/>
        <v>22.557114228456914</v>
      </c>
      <c r="C109">
        <f t="shared" si="10"/>
        <v>0.3836041941505246</v>
      </c>
      <c r="D109">
        <f t="shared" si="15"/>
        <v>93.400829715543296</v>
      </c>
      <c r="E109">
        <f t="shared" si="11"/>
        <v>32.021028027999897</v>
      </c>
      <c r="F109">
        <f t="shared" si="16"/>
        <v>16.225681172417769</v>
      </c>
      <c r="G109">
        <f t="shared" si="17"/>
        <v>39.062079856592462</v>
      </c>
      <c r="H109">
        <f t="shared" si="12"/>
        <v>673.55449384975998</v>
      </c>
      <c r="J109">
        <f t="shared" si="13"/>
        <v>1.622568117241777</v>
      </c>
      <c r="K109">
        <f t="shared" si="14"/>
        <v>3.906207985659246</v>
      </c>
      <c r="L109">
        <v>0</v>
      </c>
    </row>
    <row r="110" spans="1:12" x14ac:dyDescent="0.4">
      <c r="A110">
        <v>98</v>
      </c>
      <c r="B110">
        <f t="shared" si="9"/>
        <v>22.501002004008015</v>
      </c>
      <c r="C110">
        <f t="shared" si="10"/>
        <v>0.38269958936041087</v>
      </c>
      <c r="D110">
        <f t="shared" si="15"/>
        <v>93.47131136019533</v>
      </c>
      <c r="E110">
        <f t="shared" si="11"/>
        <v>32.013843317898328</v>
      </c>
      <c r="F110">
        <f t="shared" si="16"/>
        <v>16.165167239040571</v>
      </c>
      <c r="G110">
        <f t="shared" si="17"/>
        <v>39.024235666249474</v>
      </c>
      <c r="H110">
        <f t="shared" si="12"/>
        <v>659.49195158768282</v>
      </c>
      <c r="J110">
        <f t="shared" si="13"/>
        <v>1.616516723904057</v>
      </c>
      <c r="K110">
        <f t="shared" si="14"/>
        <v>3.9024235666249476</v>
      </c>
      <c r="L110">
        <v>0</v>
      </c>
    </row>
    <row r="111" spans="1:12" x14ac:dyDescent="0.4">
      <c r="A111">
        <v>99</v>
      </c>
      <c r="B111">
        <f t="shared" si="9"/>
        <v>22.444889779559119</v>
      </c>
      <c r="C111">
        <f t="shared" si="10"/>
        <v>0.38179461751823524</v>
      </c>
      <c r="D111">
        <f t="shared" si="15"/>
        <v>93.542515893510455</v>
      </c>
      <c r="E111">
        <f t="shared" si="11"/>
        <v>32.006297163465213</v>
      </c>
      <c r="F111">
        <f t="shared" si="16"/>
        <v>16.104825244840374</v>
      </c>
      <c r="G111">
        <f t="shared" si="17"/>
        <v>38.986509528395395</v>
      </c>
      <c r="H111">
        <f t="shared" si="12"/>
        <v>645.85932951012535</v>
      </c>
      <c r="J111">
        <f t="shared" si="13"/>
        <v>1.6104825244840373</v>
      </c>
      <c r="K111">
        <f t="shared" si="14"/>
        <v>3.8986509528395397</v>
      </c>
      <c r="L111">
        <v>0</v>
      </c>
    </row>
    <row r="112" spans="1:12" x14ac:dyDescent="0.4">
      <c r="A112">
        <v>100</v>
      </c>
      <c r="B112">
        <f t="shared" si="9"/>
        <v>22.38877755511022</v>
      </c>
      <c r="C112">
        <f t="shared" si="10"/>
        <v>0.38088927949196755</v>
      </c>
      <c r="D112">
        <f t="shared" si="15"/>
        <v>93.6144433154887</v>
      </c>
      <c r="E112">
        <f t="shared" si="11"/>
        <v>31.998389564700538</v>
      </c>
      <c r="F112">
        <f t="shared" si="16"/>
        <v>16.044654584895348</v>
      </c>
      <c r="G112">
        <f t="shared" si="17"/>
        <v>38.948901531174933</v>
      </c>
      <c r="H112">
        <f t="shared" si="12"/>
        <v>632.63935668610861</v>
      </c>
      <c r="J112">
        <f t="shared" si="13"/>
        <v>1.6044654584895348</v>
      </c>
      <c r="K112">
        <f t="shared" si="14"/>
        <v>3.8948901531174931</v>
      </c>
      <c r="L112">
        <v>0</v>
      </c>
    </row>
    <row r="113" spans="1:12" x14ac:dyDescent="0.4">
      <c r="A113">
        <v>101</v>
      </c>
      <c r="B113">
        <f t="shared" si="9"/>
        <v>22.332665330661321</v>
      </c>
      <c r="C113">
        <f t="shared" si="10"/>
        <v>0.37998357614992928</v>
      </c>
      <c r="D113">
        <f t="shared" si="15"/>
        <v>93.687093626130007</v>
      </c>
      <c r="E113">
        <f t="shared" si="11"/>
        <v>31.990120521604339</v>
      </c>
      <c r="F113">
        <f t="shared" si="16"/>
        <v>15.984654653323462</v>
      </c>
      <c r="G113">
        <f t="shared" si="17"/>
        <v>38.911411757710809</v>
      </c>
      <c r="H113">
        <f t="shared" si="12"/>
        <v>619.81561760401212</v>
      </c>
      <c r="J113">
        <f t="shared" si="13"/>
        <v>1.5984654653323462</v>
      </c>
      <c r="K113">
        <f t="shared" si="14"/>
        <v>3.891141175771081</v>
      </c>
      <c r="L113">
        <v>0</v>
      </c>
    </row>
    <row r="114" spans="1:12" x14ac:dyDescent="0.4">
      <c r="A114">
        <v>102</v>
      </c>
      <c r="B114">
        <f t="shared" si="9"/>
        <v>22.276553106212425</v>
      </c>
      <c r="C114">
        <f t="shared" si="10"/>
        <v>0.37907750836079201</v>
      </c>
      <c r="D114">
        <f t="shared" si="15"/>
        <v>93.760466825434435</v>
      </c>
      <c r="E114">
        <f t="shared" si="11"/>
        <v>31.981490034176574</v>
      </c>
      <c r="F114">
        <f t="shared" si="16"/>
        <v>15.924824843325267</v>
      </c>
      <c r="G114">
        <f t="shared" si="17"/>
        <v>38.874040286153829</v>
      </c>
      <c r="H114">
        <f t="shared" si="12"/>
        <v>607.37250191832879</v>
      </c>
      <c r="J114">
        <f t="shared" si="13"/>
        <v>1.5924824843325267</v>
      </c>
      <c r="K114">
        <f t="shared" si="14"/>
        <v>3.887404028615383</v>
      </c>
      <c r="L114">
        <v>0</v>
      </c>
    </row>
    <row r="115" spans="1:12" x14ac:dyDescent="0.4">
      <c r="A115">
        <v>103</v>
      </c>
      <c r="B115">
        <f t="shared" si="9"/>
        <v>22.220440881763526</v>
      </c>
      <c r="C115">
        <f t="shared" si="10"/>
        <v>0.37817107699357688</v>
      </c>
      <c r="D115">
        <f t="shared" si="15"/>
        <v>93.834562913401953</v>
      </c>
      <c r="E115">
        <f t="shared" si="11"/>
        <v>31.972498102417262</v>
      </c>
      <c r="F115">
        <f t="shared" si="16"/>
        <v>15.865164547226307</v>
      </c>
      <c r="G115">
        <f t="shared" si="17"/>
        <v>38.836787189732824</v>
      </c>
      <c r="H115">
        <f t="shared" si="12"/>
        <v>595.29515760384072</v>
      </c>
      <c r="J115">
        <f t="shared" si="13"/>
        <v>1.5865164547226307</v>
      </c>
      <c r="K115">
        <f t="shared" si="14"/>
        <v>3.8836787189732824</v>
      </c>
      <c r="L115">
        <v>0</v>
      </c>
    </row>
    <row r="116" spans="1:12" x14ac:dyDescent="0.4">
      <c r="A116">
        <v>104</v>
      </c>
      <c r="B116">
        <f t="shared" si="9"/>
        <v>22.164328657314627</v>
      </c>
      <c r="C116">
        <f t="shared" si="10"/>
        <v>0.37726428291765374</v>
      </c>
      <c r="D116">
        <f t="shared" si="15"/>
        <v>93.909381890032563</v>
      </c>
      <c r="E116">
        <f t="shared" si="11"/>
        <v>31.963144726326405</v>
      </c>
      <c r="F116">
        <f t="shared" si="16"/>
        <v>15.805673156519093</v>
      </c>
      <c r="G116">
        <f t="shared" si="17"/>
        <v>38.799652536804601</v>
      </c>
      <c r="H116">
        <f t="shared" si="12"/>
        <v>583.56944725580024</v>
      </c>
      <c r="J116">
        <f t="shared" si="13"/>
        <v>1.5805673156519093</v>
      </c>
      <c r="K116">
        <f t="shared" si="14"/>
        <v>3.8799652536804601</v>
      </c>
      <c r="L116">
        <v>0</v>
      </c>
    </row>
    <row r="117" spans="1:12" x14ac:dyDescent="0.4">
      <c r="A117">
        <v>105</v>
      </c>
      <c r="B117">
        <f t="shared" si="9"/>
        <v>22.108216432865731</v>
      </c>
      <c r="C117">
        <f t="shared" si="10"/>
        <v>0.37635712700274054</v>
      </c>
      <c r="D117">
        <f t="shared" si="15"/>
        <v>93.984923755326264</v>
      </c>
      <c r="E117">
        <f t="shared" si="11"/>
        <v>31.953429905904002</v>
      </c>
      <c r="F117">
        <f t="shared" si="16"/>
        <v>15.746350061904717</v>
      </c>
      <c r="G117">
        <f t="shared" si="17"/>
        <v>38.762636390903836</v>
      </c>
      <c r="H117">
        <f t="shared" si="12"/>
        <v>572.18190729710727</v>
      </c>
      <c r="J117">
        <f t="shared" si="13"/>
        <v>1.5746350061904717</v>
      </c>
      <c r="K117">
        <f t="shared" si="14"/>
        <v>3.8762636390903835</v>
      </c>
      <c r="L117">
        <v>0</v>
      </c>
    </row>
    <row r="118" spans="1:12" x14ac:dyDescent="0.4">
      <c r="A118">
        <v>106</v>
      </c>
      <c r="B118">
        <f t="shared" si="9"/>
        <v>22.052104208416836</v>
      </c>
      <c r="C118">
        <f t="shared" si="10"/>
        <v>0.37544961011890199</v>
      </c>
      <c r="D118">
        <f t="shared" si="15"/>
        <v>94.061188509283085</v>
      </c>
      <c r="E118">
        <f t="shared" si="11"/>
        <v>31.94335364115004</v>
      </c>
      <c r="F118">
        <f t="shared" si="16"/>
        <v>15.687194653334037</v>
      </c>
      <c r="G118">
        <f t="shared" si="17"/>
        <v>38.725738810792919</v>
      </c>
      <c r="H118">
        <f t="shared" si="12"/>
        <v>561.11970987374866</v>
      </c>
      <c r="J118">
        <f t="shared" si="13"/>
        <v>1.5687194653334038</v>
      </c>
      <c r="K118">
        <f t="shared" si="14"/>
        <v>3.8725738810792918</v>
      </c>
      <c r="L118">
        <v>0</v>
      </c>
    </row>
    <row r="119" spans="1:12" x14ac:dyDescent="0.4">
      <c r="A119">
        <v>107</v>
      </c>
      <c r="B119">
        <f t="shared" si="9"/>
        <v>21.995991983967937</v>
      </c>
      <c r="C119">
        <f t="shared" si="10"/>
        <v>0.37454173313654904</v>
      </c>
      <c r="D119">
        <f t="shared" si="15"/>
        <v>94.138176151903011</v>
      </c>
      <c r="E119">
        <f t="shared" si="11"/>
        <v>31.932915932064525</v>
      </c>
      <c r="F119">
        <f t="shared" si="16"/>
        <v>15.628206320048418</v>
      </c>
      <c r="G119">
        <f t="shared" si="17"/>
        <v>38.688959850511672</v>
      </c>
      <c r="H119">
        <f t="shared" si="12"/>
        <v>550.37062723803376</v>
      </c>
      <c r="J119">
        <f t="shared" si="13"/>
        <v>1.5628206320048419</v>
      </c>
      <c r="K119">
        <f t="shared" si="14"/>
        <v>3.8688959850511671</v>
      </c>
      <c r="L119">
        <v>0</v>
      </c>
    </row>
    <row r="120" spans="1:12" x14ac:dyDescent="0.4">
      <c r="A120">
        <v>108</v>
      </c>
      <c r="B120">
        <f t="shared" si="9"/>
        <v>21.939879759519037</v>
      </c>
      <c r="C120">
        <f t="shared" si="10"/>
        <v>0.37363349692643816</v>
      </c>
      <c r="D120">
        <f t="shared" si="15"/>
        <v>94.215886683186</v>
      </c>
      <c r="E120">
        <f t="shared" si="11"/>
        <v>31.922116778647478</v>
      </c>
      <c r="F120">
        <f t="shared" si="16"/>
        <v>15.569384450620195</v>
      </c>
      <c r="G120">
        <f t="shared" si="17"/>
        <v>38.652299559427135</v>
      </c>
      <c r="H120">
        <f t="shared" si="12"/>
        <v>539.92299843579156</v>
      </c>
      <c r="J120">
        <f t="shared" si="13"/>
        <v>1.5569384450620194</v>
      </c>
      <c r="K120">
        <f t="shared" si="14"/>
        <v>3.8652299559427137</v>
      </c>
      <c r="L120">
        <v>0</v>
      </c>
    </row>
    <row r="121" spans="1:12" x14ac:dyDescent="0.4">
      <c r="A121">
        <v>109</v>
      </c>
      <c r="B121">
        <f t="shared" si="9"/>
        <v>21.883767535070142</v>
      </c>
      <c r="C121">
        <f t="shared" si="10"/>
        <v>0.37272490235967032</v>
      </c>
      <c r="D121">
        <f t="shared" si="15"/>
        <v>94.294320103132094</v>
      </c>
      <c r="E121">
        <f t="shared" si="11"/>
        <v>31.910956180898879</v>
      </c>
      <c r="F121">
        <f t="shared" si="16"/>
        <v>15.510728432992577</v>
      </c>
      <c r="G121">
        <f t="shared" si="17"/>
        <v>38.615757982283135</v>
      </c>
      <c r="H121">
        <f t="shared" si="12"/>
        <v>529.76569812893467</v>
      </c>
      <c r="J121">
        <f t="shared" si="13"/>
        <v>1.5510728432992578</v>
      </c>
      <c r="K121">
        <f t="shared" si="14"/>
        <v>3.8615757982283134</v>
      </c>
      <c r="L121">
        <v>0</v>
      </c>
    </row>
    <row r="122" spans="1:12" x14ac:dyDescent="0.4">
      <c r="A122">
        <v>110</v>
      </c>
      <c r="B122">
        <f t="shared" si="9"/>
        <v>21.827655310621243</v>
      </c>
      <c r="C122">
        <f t="shared" si="10"/>
        <v>0.37181595030769016</v>
      </c>
      <c r="D122">
        <f t="shared" si="15"/>
        <v>94.373476411741308</v>
      </c>
      <c r="E122">
        <f t="shared" si="11"/>
        <v>31.899434138818727</v>
      </c>
      <c r="F122">
        <f t="shared" si="16"/>
        <v>15.452237654519248</v>
      </c>
      <c r="G122">
        <f t="shared" si="17"/>
        <v>38.579335159249851</v>
      </c>
      <c r="H122">
        <f t="shared" si="12"/>
        <v>519.88810739844507</v>
      </c>
      <c r="J122">
        <f t="shared" si="13"/>
        <v>1.5452237654519247</v>
      </c>
      <c r="K122">
        <f t="shared" si="14"/>
        <v>3.857933515924985</v>
      </c>
      <c r="L122">
        <v>0</v>
      </c>
    </row>
    <row r="123" spans="1:12" x14ac:dyDescent="0.4">
      <c r="A123">
        <v>111</v>
      </c>
      <c r="B123">
        <f t="shared" si="9"/>
        <v>21.771543086172343</v>
      </c>
      <c r="C123">
        <f t="shared" si="10"/>
        <v>0.37090664164228521</v>
      </c>
      <c r="D123">
        <f t="shared" si="15"/>
        <v>94.453355609013627</v>
      </c>
      <c r="E123">
        <f t="shared" si="11"/>
        <v>31.887550652407015</v>
      </c>
      <c r="F123">
        <f t="shared" si="16"/>
        <v>15.393911502003574</v>
      </c>
      <c r="G123">
        <f t="shared" si="17"/>
        <v>38.5430311259733</v>
      </c>
      <c r="H123">
        <f t="shared" si="12"/>
        <v>510.28008638542821</v>
      </c>
      <c r="J123">
        <f t="shared" si="13"/>
        <v>1.5393911502003574</v>
      </c>
      <c r="K123">
        <f t="shared" si="14"/>
        <v>3.8543031125973299</v>
      </c>
      <c r="L123">
        <v>0</v>
      </c>
    </row>
    <row r="124" spans="1:12" x14ac:dyDescent="0.4">
      <c r="A124">
        <v>112</v>
      </c>
      <c r="B124">
        <f t="shared" si="9"/>
        <v>21.715430861723448</v>
      </c>
      <c r="C124">
        <f t="shared" si="10"/>
        <v>0.369996977235585</v>
      </c>
      <c r="D124">
        <f t="shared" si="15"/>
        <v>94.533957694948995</v>
      </c>
      <c r="E124">
        <f t="shared" si="11"/>
        <v>31.875305721663779</v>
      </c>
      <c r="F124">
        <f t="shared" si="16"/>
        <v>15.335749361737236</v>
      </c>
      <c r="G124">
        <f t="shared" si="17"/>
        <v>38.506845913624645</v>
      </c>
      <c r="H124">
        <f t="shared" si="12"/>
        <v>500.93194863922577</v>
      </c>
      <c r="J124">
        <f t="shared" si="13"/>
        <v>1.5335749361737236</v>
      </c>
      <c r="K124">
        <f t="shared" si="14"/>
        <v>3.8506845913624645</v>
      </c>
      <c r="L124">
        <v>0</v>
      </c>
    </row>
    <row r="125" spans="1:12" x14ac:dyDescent="0.4">
      <c r="A125">
        <v>113</v>
      </c>
      <c r="B125">
        <f t="shared" si="9"/>
        <v>21.659318637274549</v>
      </c>
      <c r="C125">
        <f t="shared" si="10"/>
        <v>0.3690869579600603</v>
      </c>
      <c r="D125">
        <f t="shared" si="15"/>
        <v>94.615282669547497</v>
      </c>
      <c r="E125">
        <f t="shared" si="11"/>
        <v>31.862699346588975</v>
      </c>
      <c r="F125">
        <f t="shared" si="16"/>
        <v>15.277750619538715</v>
      </c>
      <c r="G125">
        <f t="shared" si="17"/>
        <v>38.470779548949537</v>
      </c>
      <c r="H125">
        <f t="shared" si="12"/>
        <v>491.83443705203865</v>
      </c>
      <c r="J125">
        <f t="shared" si="13"/>
        <v>1.5277750619538715</v>
      </c>
      <c r="K125">
        <f t="shared" si="14"/>
        <v>3.8470779548949539</v>
      </c>
      <c r="L125">
        <v>0</v>
      </c>
    </row>
    <row r="126" spans="1:12" x14ac:dyDescent="0.4">
      <c r="A126">
        <v>114</v>
      </c>
      <c r="B126">
        <f t="shared" si="9"/>
        <v>21.603206412825649</v>
      </c>
      <c r="C126">
        <f t="shared" si="10"/>
        <v>0.3681765846885221</v>
      </c>
      <c r="D126">
        <f t="shared" si="15"/>
        <v>94.697330532809104</v>
      </c>
      <c r="E126">
        <f t="shared" si="11"/>
        <v>31.849731527182627</v>
      </c>
      <c r="F126">
        <f t="shared" si="16"/>
        <v>15.219914660791147</v>
      </c>
      <c r="G126">
        <f t="shared" si="17"/>
        <v>38.434832054317219</v>
      </c>
      <c r="H126">
        <f t="shared" si="12"/>
        <v>482.97870126900705</v>
      </c>
      <c r="J126">
        <f t="shared" si="13"/>
        <v>1.5219914660791147</v>
      </c>
      <c r="K126">
        <f t="shared" si="14"/>
        <v>3.8434832054317218</v>
      </c>
      <c r="L126">
        <v>0</v>
      </c>
    </row>
    <row r="127" spans="1:12" x14ac:dyDescent="0.4">
      <c r="A127">
        <v>115</v>
      </c>
      <c r="B127">
        <f t="shared" si="9"/>
        <v>21.547094188376754</v>
      </c>
      <c r="C127">
        <f t="shared" si="10"/>
        <v>0.36726585829412123</v>
      </c>
      <c r="D127">
        <f t="shared" si="15"/>
        <v>94.780101284733803</v>
      </c>
      <c r="E127">
        <f t="shared" si="11"/>
        <v>31.836402263444725</v>
      </c>
      <c r="F127">
        <f t="shared" si="16"/>
        <v>15.162240870479941</v>
      </c>
      <c r="G127">
        <f t="shared" si="17"/>
        <v>38.39900344776963</v>
      </c>
      <c r="H127">
        <f t="shared" si="12"/>
        <v>474.356276471282</v>
      </c>
      <c r="J127">
        <f t="shared" si="13"/>
        <v>1.5162240870479942</v>
      </c>
      <c r="K127">
        <f t="shared" si="14"/>
        <v>3.8399003447769631</v>
      </c>
      <c r="L127">
        <v>0</v>
      </c>
    </row>
    <row r="128" spans="1:12" x14ac:dyDescent="0.4">
      <c r="A128">
        <v>116</v>
      </c>
      <c r="B128">
        <f t="shared" si="9"/>
        <v>21.490981963927855</v>
      </c>
      <c r="C128">
        <f t="shared" si="10"/>
        <v>0.3663547796503468</v>
      </c>
      <c r="D128">
        <f t="shared" si="15"/>
        <v>94.863594925321564</v>
      </c>
      <c r="E128">
        <f t="shared" si="11"/>
        <v>31.822711555375292</v>
      </c>
      <c r="F128">
        <f t="shared" si="16"/>
        <v>15.10472863322982</v>
      </c>
      <c r="G128">
        <f t="shared" si="17"/>
        <v>38.363293743070301</v>
      </c>
      <c r="H128">
        <f t="shared" si="12"/>
        <v>465.9590634376288</v>
      </c>
      <c r="J128">
        <f t="shared" si="13"/>
        <v>1.510472863322982</v>
      </c>
      <c r="K128">
        <f t="shared" si="14"/>
        <v>3.8363293743070299</v>
      </c>
      <c r="L128">
        <v>0</v>
      </c>
    </row>
    <row r="129" spans="1:12" x14ac:dyDescent="0.4">
      <c r="A129">
        <v>117</v>
      </c>
      <c r="B129">
        <f t="shared" si="9"/>
        <v>21.434869739478959</v>
      </c>
      <c r="C129">
        <f t="shared" si="10"/>
        <v>0.36544334963102615</v>
      </c>
      <c r="D129">
        <f t="shared" si="15"/>
        <v>94.947811454572459</v>
      </c>
      <c r="E129">
        <f t="shared" si="11"/>
        <v>31.808659402974293</v>
      </c>
      <c r="F129">
        <f t="shared" si="16"/>
        <v>15.047377333341553</v>
      </c>
      <c r="G129">
        <f t="shared" si="17"/>
        <v>38.327702949753181</v>
      </c>
      <c r="H129">
        <f t="shared" si="12"/>
        <v>457.77930979734674</v>
      </c>
      <c r="J129">
        <f t="shared" si="13"/>
        <v>1.5047377333341552</v>
      </c>
      <c r="K129">
        <f t="shared" si="14"/>
        <v>3.832770294975318</v>
      </c>
      <c r="L129">
        <v>0</v>
      </c>
    </row>
    <row r="130" spans="1:12" x14ac:dyDescent="0.4">
      <c r="A130">
        <v>118</v>
      </c>
      <c r="B130">
        <f t="shared" si="9"/>
        <v>21.37875751503006</v>
      </c>
      <c r="C130">
        <f t="shared" si="10"/>
        <v>0.36453156911032325</v>
      </c>
      <c r="D130">
        <f t="shared" si="15"/>
        <v>95.032750872486446</v>
      </c>
      <c r="E130">
        <f t="shared" si="11"/>
        <v>31.794245806241747</v>
      </c>
      <c r="F130">
        <f t="shared" si="16"/>
        <v>14.990186354828326</v>
      </c>
      <c r="G130">
        <f t="shared" si="17"/>
        <v>38.29223107317133</v>
      </c>
      <c r="H130">
        <f t="shared" si="12"/>
        <v>449.80959239388108</v>
      </c>
      <c r="J130">
        <f t="shared" si="13"/>
        <v>1.4990186354828325</v>
      </c>
      <c r="K130">
        <f t="shared" si="14"/>
        <v>3.8292231073171328</v>
      </c>
      <c r="L130">
        <v>0</v>
      </c>
    </row>
    <row r="131" spans="1:12" x14ac:dyDescent="0.4">
      <c r="A131">
        <v>119</v>
      </c>
      <c r="B131">
        <f t="shared" si="9"/>
        <v>21.322645290581164</v>
      </c>
      <c r="C131">
        <f t="shared" si="10"/>
        <v>0.36361943896273863</v>
      </c>
      <c r="D131">
        <f t="shared" si="15"/>
        <v>95.118413179063538</v>
      </c>
      <c r="E131">
        <f t="shared" si="11"/>
        <v>31.779470765177649</v>
      </c>
      <c r="F131">
        <f t="shared" si="16"/>
        <v>14.933155081451607</v>
      </c>
      <c r="G131">
        <f t="shared" si="17"/>
        <v>38.256878114545479</v>
      </c>
      <c r="H131">
        <f t="shared" si="12"/>
        <v>442.04280068461054</v>
      </c>
      <c r="J131">
        <f t="shared" si="13"/>
        <v>1.4933155081451608</v>
      </c>
      <c r="K131">
        <f t="shared" si="14"/>
        <v>3.8256878114545478</v>
      </c>
      <c r="L131">
        <v>0</v>
      </c>
    </row>
    <row r="132" spans="1:12" x14ac:dyDescent="0.4">
      <c r="A132">
        <v>120</v>
      </c>
      <c r="B132">
        <f t="shared" si="9"/>
        <v>21.266533066132265</v>
      </c>
      <c r="C132">
        <f t="shared" si="10"/>
        <v>0.36270696006310787</v>
      </c>
      <c r="D132">
        <f t="shared" si="15"/>
        <v>95.204798374303707</v>
      </c>
      <c r="E132">
        <f t="shared" si="11"/>
        <v>31.764334279782013</v>
      </c>
      <c r="F132">
        <f t="shared" si="16"/>
        <v>14.876282896756642</v>
      </c>
      <c r="G132">
        <f t="shared" si="17"/>
        <v>38.221644071012449</v>
      </c>
      <c r="H132">
        <f t="shared" si="12"/>
        <v>434.47212110786541</v>
      </c>
      <c r="J132">
        <f t="shared" si="13"/>
        <v>1.4876282896756643</v>
      </c>
      <c r="K132">
        <f t="shared" si="14"/>
        <v>3.8221644071012451</v>
      </c>
      <c r="L132">
        <v>0</v>
      </c>
    </row>
    <row r="133" spans="1:12" x14ac:dyDescent="0.4">
      <c r="A133">
        <v>121</v>
      </c>
      <c r="B133">
        <f t="shared" si="9"/>
        <v>21.210420841683366</v>
      </c>
      <c r="C133">
        <f t="shared" si="10"/>
        <v>0.36179413328660109</v>
      </c>
      <c r="D133">
        <f t="shared" si="15"/>
        <v>95.291906458206995</v>
      </c>
      <c r="E133">
        <f t="shared" si="11"/>
        <v>31.748836350054816</v>
      </c>
      <c r="F133">
        <f t="shared" si="16"/>
        <v>14.819569184107566</v>
      </c>
      <c r="G133">
        <f t="shared" si="17"/>
        <v>38.186528935673415</v>
      </c>
      <c r="H133">
        <f t="shared" si="12"/>
        <v>427.091022353357</v>
      </c>
      <c r="J133">
        <f t="shared" si="13"/>
        <v>1.4819569184107566</v>
      </c>
      <c r="K133">
        <f t="shared" si="14"/>
        <v>3.8186528935673416</v>
      </c>
      <c r="L133">
        <v>0</v>
      </c>
    </row>
    <row r="134" spans="1:12" x14ac:dyDescent="0.4">
      <c r="A134">
        <v>122</v>
      </c>
      <c r="B134">
        <f t="shared" si="9"/>
        <v>21.15430861723447</v>
      </c>
      <c r="C134">
        <f t="shared" si="10"/>
        <v>0.36088095950872223</v>
      </c>
      <c r="D134">
        <f t="shared" si="15"/>
        <v>95.379737430773361</v>
      </c>
      <c r="E134">
        <f t="shared" si="11"/>
        <v>31.732976975996081</v>
      </c>
      <c r="F134">
        <f t="shared" si="16"/>
        <v>14.76301332672203</v>
      </c>
      <c r="G134">
        <f t="shared" si="17"/>
        <v>38.151532697642004</v>
      </c>
      <c r="H134">
        <f t="shared" si="12"/>
        <v>419.89324147687944</v>
      </c>
      <c r="J134">
        <f t="shared" si="13"/>
        <v>1.476301332672203</v>
      </c>
      <c r="K134">
        <f t="shared" si="14"/>
        <v>3.8151532697642003</v>
      </c>
      <c r="L134">
        <v>0</v>
      </c>
    </row>
    <row r="135" spans="1:12" x14ac:dyDescent="0.4">
      <c r="A135">
        <v>123</v>
      </c>
      <c r="B135">
        <f t="shared" si="9"/>
        <v>21.098196392785571</v>
      </c>
      <c r="C135">
        <f t="shared" si="10"/>
        <v>0.35996743960530775</v>
      </c>
      <c r="D135">
        <f t="shared" si="15"/>
        <v>95.468291292002846</v>
      </c>
      <c r="E135">
        <f t="shared" si="11"/>
        <v>31.716756157605793</v>
      </c>
      <c r="F135">
        <f t="shared" si="16"/>
        <v>14.706614707705549</v>
      </c>
      <c r="G135">
        <f t="shared" si="17"/>
        <v>38.116655342092344</v>
      </c>
      <c r="H135">
        <f t="shared" si="12"/>
        <v>412.87277080447058</v>
      </c>
      <c r="J135">
        <f t="shared" si="13"/>
        <v>1.470661470770555</v>
      </c>
      <c r="K135">
        <f t="shared" si="14"/>
        <v>3.8116655342092343</v>
      </c>
      <c r="L135">
        <v>0</v>
      </c>
    </row>
    <row r="136" spans="1:12" x14ac:dyDescent="0.4">
      <c r="A136">
        <v>124</v>
      </c>
      <c r="B136">
        <f t="shared" si="9"/>
        <v>21.042084168336672</v>
      </c>
      <c r="C136">
        <f t="shared" si="10"/>
        <v>0.35905357445252634</v>
      </c>
      <c r="D136">
        <f t="shared" si="15"/>
        <v>95.557568041895408</v>
      </c>
      <c r="E136">
        <f t="shared" si="11"/>
        <v>31.70017389488396</v>
      </c>
      <c r="F136">
        <f t="shared" si="16"/>
        <v>14.650372710085371</v>
      </c>
      <c r="G136">
        <f t="shared" si="17"/>
        <v>38.08189685030684</v>
      </c>
      <c r="H136">
        <f t="shared" si="12"/>
        <v>406.02384557519184</v>
      </c>
      <c r="J136">
        <f t="shared" si="13"/>
        <v>1.4650372710085371</v>
      </c>
      <c r="K136">
        <f t="shared" si="14"/>
        <v>3.8081896850306842</v>
      </c>
      <c r="L136">
        <v>0</v>
      </c>
    </row>
    <row r="137" spans="1:12" x14ac:dyDescent="0.4">
      <c r="A137">
        <v>125</v>
      </c>
      <c r="B137">
        <f t="shared" si="9"/>
        <v>20.985971943887776</v>
      </c>
      <c r="C137">
        <f t="shared" si="10"/>
        <v>0.35813936492687787</v>
      </c>
      <c r="D137">
        <f t="shared" si="15"/>
        <v>95.64756768045109</v>
      </c>
      <c r="E137">
        <f t="shared" si="11"/>
        <v>31.683230187830567</v>
      </c>
      <c r="F137">
        <f t="shared" si="16"/>
        <v>14.594286716843873</v>
      </c>
      <c r="G137">
        <f t="shared" si="17"/>
        <v>38.047257199723816</v>
      </c>
      <c r="H137">
        <f t="shared" si="12"/>
        <v>399.34093227532804</v>
      </c>
      <c r="J137">
        <f t="shared" si="13"/>
        <v>1.4594286716843874</v>
      </c>
      <c r="K137">
        <f t="shared" si="14"/>
        <v>3.8047257199723816</v>
      </c>
      <c r="L137">
        <v>0</v>
      </c>
    </row>
    <row r="138" spans="1:12" x14ac:dyDescent="0.4">
      <c r="A138">
        <v>126</v>
      </c>
      <c r="B138">
        <f t="shared" si="9"/>
        <v>20.929859719438877</v>
      </c>
      <c r="C138">
        <f t="shared" si="10"/>
        <v>0.35722481190519212</v>
      </c>
      <c r="D138">
        <f t="shared" si="15"/>
        <v>95.738290207669849</v>
      </c>
      <c r="E138">
        <f t="shared" si="11"/>
        <v>31.665925036445635</v>
      </c>
      <c r="F138">
        <f t="shared" si="16"/>
        <v>14.538356110951698</v>
      </c>
      <c r="G138">
        <f t="shared" si="17"/>
        <v>38.012736363985013</v>
      </c>
      <c r="H138">
        <f t="shared" si="12"/>
        <v>392.81871762016993</v>
      </c>
      <c r="J138">
        <f t="shared" si="13"/>
        <v>1.4538356110951698</v>
      </c>
      <c r="K138">
        <f t="shared" si="14"/>
        <v>3.8012736363985011</v>
      </c>
      <c r="L138">
        <v>0</v>
      </c>
    </row>
    <row r="139" spans="1:12" x14ac:dyDescent="0.4">
      <c r="A139">
        <v>127</v>
      </c>
      <c r="B139">
        <f t="shared" si="9"/>
        <v>20.873747494989978</v>
      </c>
      <c r="C139">
        <f t="shared" si="10"/>
        <v>0.35630991626462871</v>
      </c>
      <c r="D139">
        <f t="shared" si="15"/>
        <v>95.829735623551699</v>
      </c>
      <c r="E139">
        <f t="shared" si="11"/>
        <v>31.648258440729165</v>
      </c>
      <c r="F139">
        <f t="shared" si="16"/>
        <v>14.482580275400315</v>
      </c>
      <c r="G139">
        <f t="shared" si="17"/>
        <v>37.978334312982888</v>
      </c>
      <c r="H139">
        <f t="shared" si="12"/>
        <v>386.45209814268247</v>
      </c>
      <c r="J139">
        <f t="shared" si="13"/>
        <v>1.4482580275400314</v>
      </c>
      <c r="K139">
        <f t="shared" si="14"/>
        <v>3.7978334312982889</v>
      </c>
      <c r="L139">
        <v>0</v>
      </c>
    </row>
    <row r="140" spans="1:12" x14ac:dyDescent="0.4">
      <c r="A140">
        <v>128</v>
      </c>
      <c r="B140">
        <f t="shared" ref="B140:B203" si="18">IF(A140="",NA(),-$B$3/($B$2-1)*A140+$B$3)</f>
        <v>20.817635270541082</v>
      </c>
      <c r="C140">
        <f t="shared" ref="C140:C203" si="19">SIN(RADIANS(B140))</f>
        <v>0.35539467888267567</v>
      </c>
      <c r="D140">
        <f t="shared" si="15"/>
        <v>95.921903928096668</v>
      </c>
      <c r="E140">
        <f t="shared" ref="E140:E203" si="20">IFERROR(90-(B140+D140)/2,IF($B$2-1=A140,E139,NA()))</f>
        <v>31.630230400681128</v>
      </c>
      <c r="F140">
        <f t="shared" si="16"/>
        <v>14.42695859323444</v>
      </c>
      <c r="G140">
        <f t="shared" si="17"/>
        <v>37.944051012907849</v>
      </c>
      <c r="H140">
        <f t="shared" ref="H140:H203" si="21">IF(A140="",NA(),F140-G140/TAN(RADIANS(270-D140)))</f>
        <v>380.2361703511466</v>
      </c>
      <c r="J140">
        <f t="shared" ref="J140:J203" si="22">IF(A140="",NA(),F140/10)</f>
        <v>1.442695859323444</v>
      </c>
      <c r="K140">
        <f t="shared" ref="K140:K203" si="23">IF(A140="",NA(),G140/10)</f>
        <v>3.7944051012907849</v>
      </c>
      <c r="L140">
        <v>0</v>
      </c>
    </row>
    <row r="141" spans="1:12" x14ac:dyDescent="0.4">
      <c r="A141">
        <v>129</v>
      </c>
      <c r="B141">
        <f t="shared" si="18"/>
        <v>20.761523046092186</v>
      </c>
      <c r="C141">
        <f t="shared" si="19"/>
        <v>0.35447910063714899</v>
      </c>
      <c r="D141">
        <f t="shared" ref="D141:D204" si="24" xml:space="preserve"> IF(A141="", NA(), MEDIAN(90, 180, $F$3*B141^2 - ((90+$F$3*$B$3^2)/$B$3)*B141 + 180))</f>
        <v>96.014795121304729</v>
      </c>
      <c r="E141">
        <f t="shared" si="20"/>
        <v>31.611840916301546</v>
      </c>
      <c r="F141">
        <f t="shared" ref="F141:F204" si="25">IFERROR(F140*(TAN(RADIANS(E140))-TAN(RADIANS(90-B140)))/(TAN(RADIANS(E140))-TAN(RADIANS(90-B141))),IF($B$2-1=A141,0,NA()))</f>
        <v>14.371490447583716</v>
      </c>
      <c r="G141">
        <f t="shared" ref="G141:G204" si="26">IFERROR(TAN(RADIANS(90-B141))*F141,IF($B$2-1=A141,G140,NA()))</f>
        <v>37.909886426295088</v>
      </c>
      <c r="H141">
        <f t="shared" si="21"/>
        <v>374.16622142057321</v>
      </c>
      <c r="J141">
        <f t="shared" si="22"/>
        <v>1.4371490447583715</v>
      </c>
      <c r="K141">
        <f t="shared" si="23"/>
        <v>3.7909886426295087</v>
      </c>
      <c r="L141">
        <v>0</v>
      </c>
    </row>
    <row r="142" spans="1:12" x14ac:dyDescent="0.4">
      <c r="A142">
        <v>130</v>
      </c>
      <c r="B142">
        <f t="shared" si="18"/>
        <v>20.705410821643287</v>
      </c>
      <c r="C142">
        <f t="shared" si="19"/>
        <v>0.35356318240619128</v>
      </c>
      <c r="D142">
        <f t="shared" si="24"/>
        <v>96.108409203175896</v>
      </c>
      <c r="E142">
        <f t="shared" si="20"/>
        <v>31.59308998759041</v>
      </c>
      <c r="F142">
        <f t="shared" si="25"/>
        <v>14.316175221694262</v>
      </c>
      <c r="G142">
        <f t="shared" si="26"/>
        <v>37.875840512071456</v>
      </c>
      <c r="H142">
        <f t="shared" si="21"/>
        <v>368.23772038505518</v>
      </c>
      <c r="J142">
        <f t="shared" si="22"/>
        <v>1.4316175221694263</v>
      </c>
      <c r="K142">
        <f t="shared" si="23"/>
        <v>3.7875840512071455</v>
      </c>
      <c r="L142">
        <v>0</v>
      </c>
    </row>
    <row r="143" spans="1:12" x14ac:dyDescent="0.4">
      <c r="A143">
        <v>131</v>
      </c>
      <c r="B143">
        <f t="shared" si="18"/>
        <v>20.649298597194388</v>
      </c>
      <c r="C143">
        <f t="shared" si="19"/>
        <v>0.3526469250682715</v>
      </c>
      <c r="D143">
        <f t="shared" si="24"/>
        <v>96.202746173710125</v>
      </c>
      <c r="E143">
        <f t="shared" si="20"/>
        <v>31.573977614547744</v>
      </c>
      <c r="F143">
        <f t="shared" si="25"/>
        <v>14.261012298959699</v>
      </c>
      <c r="G143">
        <f t="shared" si="26"/>
        <v>37.841913225601992</v>
      </c>
      <c r="H143">
        <f t="shared" si="21"/>
        <v>362.44630980055547</v>
      </c>
      <c r="J143">
        <f t="shared" si="22"/>
        <v>1.4261012298959699</v>
      </c>
      <c r="K143">
        <f t="shared" si="23"/>
        <v>3.7841913225601993</v>
      </c>
      <c r="L143">
        <v>0</v>
      </c>
    </row>
    <row r="144" spans="1:12" x14ac:dyDescent="0.4">
      <c r="A144">
        <v>132</v>
      </c>
      <c r="B144">
        <f t="shared" si="18"/>
        <v>20.593186372745492</v>
      </c>
      <c r="C144">
        <f t="shared" si="19"/>
        <v>0.35173032950218375</v>
      </c>
      <c r="D144">
        <f t="shared" si="24"/>
        <v>96.297806032907488</v>
      </c>
      <c r="E144">
        <f t="shared" si="20"/>
        <v>31.55450379717351</v>
      </c>
      <c r="F144">
        <f t="shared" si="25"/>
        <v>14.206001062951774</v>
      </c>
      <c r="G144">
        <f t="shared" si="26"/>
        <v>37.808104518736371</v>
      </c>
      <c r="H144">
        <f t="shared" si="21"/>
        <v>356.78779784959517</v>
      </c>
      <c r="J144">
        <f t="shared" si="22"/>
        <v>1.4206001062951774</v>
      </c>
      <c r="K144">
        <f t="shared" si="23"/>
        <v>3.780810451873637</v>
      </c>
      <c r="L144">
        <v>0</v>
      </c>
    </row>
    <row r="145" spans="1:12" x14ac:dyDescent="0.4">
      <c r="A145">
        <v>133</v>
      </c>
      <c r="B145">
        <f t="shared" si="18"/>
        <v>20.537074148296593</v>
      </c>
      <c r="C145">
        <f t="shared" si="19"/>
        <v>0.35081339658704647</v>
      </c>
      <c r="D145">
        <f t="shared" si="24"/>
        <v>96.393588780767942</v>
      </c>
      <c r="E145">
        <f t="shared" si="20"/>
        <v>31.534668535467731</v>
      </c>
      <c r="F145">
        <f t="shared" si="25"/>
        <v>14.151140897450672</v>
      </c>
      <c r="G145">
        <f t="shared" si="26"/>
        <v>37.774414339855099</v>
      </c>
      <c r="H145">
        <f t="shared" si="21"/>
        <v>351.25815086135634</v>
      </c>
      <c r="J145">
        <f t="shared" si="22"/>
        <v>1.4151140897450671</v>
      </c>
      <c r="K145">
        <f t="shared" si="23"/>
        <v>3.7774414339855098</v>
      </c>
      <c r="L145">
        <v>0</v>
      </c>
    </row>
    <row r="146" spans="1:12" x14ac:dyDescent="0.4">
      <c r="A146">
        <v>134</v>
      </c>
      <c r="B146">
        <f t="shared" si="18"/>
        <v>20.480961923847694</v>
      </c>
      <c r="C146">
        <f t="shared" si="19"/>
        <v>0.34989612720230184</v>
      </c>
      <c r="D146">
        <f t="shared" si="24"/>
        <v>96.490094417291516</v>
      </c>
      <c r="E146">
        <f t="shared" si="20"/>
        <v>31.514471829430391</v>
      </c>
      <c r="F146">
        <f t="shared" si="25"/>
        <v>14.096431186474824</v>
      </c>
      <c r="G146">
        <f t="shared" si="26"/>
        <v>37.740842633915506</v>
      </c>
      <c r="H146">
        <f t="shared" si="21"/>
        <v>345.8534862223791</v>
      </c>
      <c r="J146">
        <f t="shared" si="22"/>
        <v>1.4096431186474825</v>
      </c>
      <c r="K146">
        <f t="shared" si="23"/>
        <v>3.7740842633915506</v>
      </c>
      <c r="L146">
        <v>0</v>
      </c>
    </row>
    <row r="147" spans="1:12" x14ac:dyDescent="0.4">
      <c r="A147">
        <v>135</v>
      </c>
      <c r="B147">
        <f t="shared" si="18"/>
        <v>20.424849699398798</v>
      </c>
      <c r="C147">
        <f t="shared" si="19"/>
        <v>0.34897852222771464</v>
      </c>
      <c r="D147">
        <f t="shared" si="24"/>
        <v>96.587322942478124</v>
      </c>
      <c r="E147">
        <f t="shared" si="20"/>
        <v>31.493913679061535</v>
      </c>
      <c r="F147">
        <f t="shared" si="25"/>
        <v>14.041871314310395</v>
      </c>
      <c r="G147">
        <f t="shared" si="26"/>
        <v>37.707389342497564</v>
      </c>
      <c r="H147">
        <f t="shared" si="21"/>
        <v>340.57006565477769</v>
      </c>
      <c r="J147">
        <f t="shared" si="22"/>
        <v>1.4041871314310395</v>
      </c>
      <c r="K147">
        <f t="shared" si="23"/>
        <v>3.7707389342497564</v>
      </c>
      <c r="L147">
        <v>0</v>
      </c>
    </row>
    <row r="148" spans="1:12" x14ac:dyDescent="0.4">
      <c r="A148">
        <v>136</v>
      </c>
      <c r="B148">
        <f t="shared" si="18"/>
        <v>20.368737474949899</v>
      </c>
      <c r="C148">
        <f t="shared" si="19"/>
        <v>0.34806058254337136</v>
      </c>
      <c r="D148">
        <f t="shared" si="24"/>
        <v>96.685274356327881</v>
      </c>
      <c r="E148">
        <f t="shared" si="20"/>
        <v>31.472994084361112</v>
      </c>
      <c r="F148">
        <f t="shared" si="25"/>
        <v>13.98746066554031</v>
      </c>
      <c r="G148">
        <f t="shared" si="26"/>
        <v>37.67405440384946</v>
      </c>
      <c r="H148">
        <f t="shared" si="21"/>
        <v>335.40428884032059</v>
      </c>
      <c r="J148">
        <f t="shared" si="22"/>
        <v>1.398746066554031</v>
      </c>
      <c r="K148">
        <f t="shared" si="23"/>
        <v>3.767405440384946</v>
      </c>
      <c r="L148">
        <v>0</v>
      </c>
    </row>
    <row r="149" spans="1:12" x14ac:dyDescent="0.4">
      <c r="A149">
        <v>137</v>
      </c>
      <c r="B149">
        <f t="shared" si="18"/>
        <v>20.312625250501</v>
      </c>
      <c r="C149">
        <f t="shared" si="19"/>
        <v>0.3471423090296798</v>
      </c>
      <c r="D149">
        <f t="shared" si="24"/>
        <v>96.783948658840728</v>
      </c>
      <c r="E149">
        <f t="shared" si="20"/>
        <v>31.451713045329136</v>
      </c>
      <c r="F149">
        <f t="shared" si="25"/>
        <v>13.933198625073013</v>
      </c>
      <c r="G149">
        <f t="shared" si="26"/>
        <v>37.640837752933052</v>
      </c>
      <c r="H149">
        <f t="shared" si="21"/>
        <v>330.35268737028679</v>
      </c>
      <c r="J149">
        <f t="shared" si="22"/>
        <v>1.3933198625073013</v>
      </c>
      <c r="K149">
        <f t="shared" si="23"/>
        <v>3.7640837752933054</v>
      </c>
      <c r="L149">
        <v>0</v>
      </c>
    </row>
    <row r="150" spans="1:12" x14ac:dyDescent="0.4">
      <c r="A150">
        <v>138</v>
      </c>
      <c r="B150">
        <f t="shared" si="18"/>
        <v>20.256513026052104</v>
      </c>
      <c r="C150">
        <f t="shared" si="19"/>
        <v>0.34622370256736784</v>
      </c>
      <c r="D150">
        <f t="shared" si="24"/>
        <v>96.883345850016667</v>
      </c>
      <c r="E150">
        <f t="shared" si="20"/>
        <v>31.430070561965614</v>
      </c>
      <c r="F150">
        <f t="shared" si="25"/>
        <v>13.879084578170611</v>
      </c>
      <c r="G150">
        <f t="shared" si="26"/>
        <v>37.607739321468941</v>
      </c>
      <c r="H150">
        <f t="shared" si="21"/>
        <v>325.41191900214022</v>
      </c>
      <c r="J150">
        <f t="shared" si="22"/>
        <v>1.3879084578170611</v>
      </c>
      <c r="K150">
        <f t="shared" si="23"/>
        <v>3.7607739321468943</v>
      </c>
      <c r="L150">
        <v>0</v>
      </c>
    </row>
    <row r="151" spans="1:12" x14ac:dyDescent="0.4">
      <c r="A151">
        <v>139</v>
      </c>
      <c r="B151">
        <f t="shared" si="18"/>
        <v>20.200400801603205</v>
      </c>
      <c r="C151">
        <f t="shared" si="19"/>
        <v>0.34530476403748256</v>
      </c>
      <c r="D151">
        <f t="shared" si="24"/>
        <v>96.983465929855697</v>
      </c>
      <c r="E151">
        <f t="shared" si="20"/>
        <v>31.408066634270547</v>
      </c>
      <c r="F151">
        <f t="shared" si="25"/>
        <v>13.825117910476886</v>
      </c>
      <c r="G151">
        <f t="shared" si="26"/>
        <v>37.574759037981522</v>
      </c>
      <c r="H151">
        <f t="shared" si="21"/>
        <v>320.57876220544375</v>
      </c>
      <c r="J151">
        <f t="shared" si="22"/>
        <v>1.3825117910476885</v>
      </c>
      <c r="K151">
        <f t="shared" si="23"/>
        <v>3.7574759037981522</v>
      </c>
      <c r="L151">
        <v>0</v>
      </c>
    </row>
    <row r="152" spans="1:12" x14ac:dyDescent="0.4">
      <c r="A152">
        <v>140</v>
      </c>
      <c r="B152">
        <f t="shared" si="18"/>
        <v>20.14428857715431</v>
      </c>
      <c r="C152">
        <f t="shared" si="19"/>
        <v>0.34438549432138971</v>
      </c>
      <c r="D152">
        <f t="shared" si="24"/>
        <v>97.084308898357818</v>
      </c>
      <c r="E152">
        <f t="shared" si="20"/>
        <v>31.385701262243934</v>
      </c>
      <c r="F152">
        <f t="shared" si="25"/>
        <v>13.771298008044747</v>
      </c>
      <c r="G152">
        <f t="shared" si="26"/>
        <v>37.541896827843701</v>
      </c>
      <c r="H152">
        <f t="shared" si="21"/>
        <v>315.85011098047403</v>
      </c>
      <c r="J152">
        <f t="shared" si="22"/>
        <v>1.3771298008044748</v>
      </c>
      <c r="K152">
        <f t="shared" si="23"/>
        <v>3.7541896827843702</v>
      </c>
      <c r="L152">
        <v>0</v>
      </c>
    </row>
    <row r="153" spans="1:12" x14ac:dyDescent="0.4">
      <c r="A153">
        <v>141</v>
      </c>
      <c r="B153">
        <f t="shared" si="18"/>
        <v>20.08817635270541</v>
      </c>
      <c r="C153">
        <f t="shared" si="19"/>
        <v>0.34346589430077257</v>
      </c>
      <c r="D153">
        <f t="shared" si="24"/>
        <v>97.185874755523074</v>
      </c>
      <c r="E153">
        <f t="shared" si="20"/>
        <v>31.362974445885754</v>
      </c>
      <c r="F153">
        <f t="shared" si="25"/>
        <v>13.717624257363326</v>
      </c>
      <c r="G153">
        <f t="shared" si="26"/>
        <v>37.509152613321369</v>
      </c>
      <c r="H153">
        <f t="shared" si="21"/>
        <v>311.22296993408293</v>
      </c>
      <c r="J153">
        <f t="shared" si="22"/>
        <v>1.3717624257363326</v>
      </c>
      <c r="K153">
        <f t="shared" si="23"/>
        <v>3.7509152613321368</v>
      </c>
      <c r="L153">
        <v>0</v>
      </c>
    </row>
    <row r="154" spans="1:12" x14ac:dyDescent="0.4">
      <c r="A154">
        <v>142</v>
      </c>
      <c r="B154">
        <f t="shared" si="18"/>
        <v>20.032064128256515</v>
      </c>
      <c r="C154">
        <f t="shared" si="19"/>
        <v>0.34254596485763128</v>
      </c>
      <c r="D154">
        <f t="shared" si="24"/>
        <v>97.288163501351391</v>
      </c>
      <c r="E154">
        <f t="shared" si="20"/>
        <v>31.33988618519605</v>
      </c>
      <c r="F154">
        <f t="shared" si="25"/>
        <v>13.664096045384781</v>
      </c>
      <c r="G154">
        <f t="shared" si="26"/>
        <v>37.476526313617789</v>
      </c>
      <c r="H154">
        <f t="shared" si="21"/>
        <v>306.69444959833112</v>
      </c>
      <c r="J154">
        <f t="shared" si="22"/>
        <v>1.3664096045384782</v>
      </c>
      <c r="K154">
        <f t="shared" si="23"/>
        <v>3.7476526313617788</v>
      </c>
      <c r="L154">
        <v>0</v>
      </c>
    </row>
    <row r="155" spans="1:12" x14ac:dyDescent="0.4">
      <c r="A155">
        <v>143</v>
      </c>
      <c r="B155">
        <f t="shared" si="18"/>
        <v>19.975951903807616</v>
      </c>
      <c r="C155">
        <f t="shared" si="19"/>
        <v>0.3416257068742819</v>
      </c>
      <c r="D155">
        <f t="shared" si="24"/>
        <v>97.391175135842815</v>
      </c>
      <c r="E155">
        <f t="shared" si="20"/>
        <v>31.316436480174787</v>
      </c>
      <c r="F155">
        <f t="shared" si="25"/>
        <v>13.610712759550502</v>
      </c>
      <c r="G155">
        <f t="shared" si="26"/>
        <v>37.444017844917553</v>
      </c>
      <c r="H155">
        <f t="shared" si="21"/>
        <v>302.26176197830881</v>
      </c>
      <c r="J155">
        <f t="shared" si="22"/>
        <v>1.3610712759550503</v>
      </c>
      <c r="K155">
        <f t="shared" si="23"/>
        <v>3.7444017844917554</v>
      </c>
      <c r="L155">
        <v>0</v>
      </c>
    </row>
    <row r="156" spans="1:12" x14ac:dyDescent="0.4">
      <c r="A156">
        <v>144</v>
      </c>
      <c r="B156">
        <f t="shared" si="18"/>
        <v>19.919839679358716</v>
      </c>
      <c r="C156">
        <f t="shared" si="19"/>
        <v>0.34070512123335561</v>
      </c>
      <c r="D156">
        <f t="shared" si="24"/>
        <v>97.494909658997358</v>
      </c>
      <c r="E156">
        <f t="shared" si="20"/>
        <v>31.292625330821963</v>
      </c>
      <c r="F156">
        <f t="shared" si="25"/>
        <v>13.557473787817214</v>
      </c>
      <c r="G156">
        <f t="shared" si="26"/>
        <v>37.411627120430516</v>
      </c>
      <c r="H156">
        <f t="shared" si="21"/>
        <v>297.92221631643343</v>
      </c>
      <c r="J156">
        <f t="shared" si="22"/>
        <v>1.3557473787817214</v>
      </c>
      <c r="K156">
        <f t="shared" si="23"/>
        <v>3.7411627120430517</v>
      </c>
      <c r="L156">
        <v>0</v>
      </c>
    </row>
    <row r="157" spans="1:12" x14ac:dyDescent="0.4">
      <c r="A157">
        <v>145</v>
      </c>
      <c r="B157">
        <f t="shared" si="18"/>
        <v>19.863727454909821</v>
      </c>
      <c r="C157">
        <f t="shared" si="19"/>
        <v>0.33978420881779792</v>
      </c>
      <c r="D157">
        <f t="shared" si="24"/>
        <v>97.599367070814978</v>
      </c>
      <c r="E157">
        <f t="shared" si="20"/>
        <v>31.268452737137601</v>
      </c>
      <c r="F157">
        <f t="shared" si="25"/>
        <v>13.504378518682472</v>
      </c>
      <c r="G157">
        <f t="shared" si="26"/>
        <v>37.379354050435353</v>
      </c>
      <c r="H157">
        <f t="shared" si="21"/>
        <v>293.67321506128985</v>
      </c>
      <c r="J157">
        <f t="shared" si="22"/>
        <v>1.3504378518682472</v>
      </c>
      <c r="K157">
        <f t="shared" si="23"/>
        <v>3.7379354050435354</v>
      </c>
      <c r="L157">
        <v>0</v>
      </c>
    </row>
    <row r="158" spans="1:12" x14ac:dyDescent="0.4">
      <c r="A158">
        <v>146</v>
      </c>
      <c r="B158">
        <f t="shared" si="18"/>
        <v>19.807615230460922</v>
      </c>
      <c r="C158">
        <f t="shared" si="19"/>
        <v>0.33886297051086756</v>
      </c>
      <c r="D158">
        <f t="shared" si="24"/>
        <v>97.704547371295689</v>
      </c>
      <c r="E158">
        <f t="shared" si="20"/>
        <v>31.243918699121693</v>
      </c>
      <c r="F158">
        <f t="shared" si="25"/>
        <v>13.451426341209904</v>
      </c>
      <c r="G158">
        <f t="shared" si="26"/>
        <v>37.347198542322928</v>
      </c>
      <c r="H158">
        <f t="shared" si="21"/>
        <v>289.51225002979857</v>
      </c>
      <c r="J158">
        <f t="shared" si="22"/>
        <v>1.3451426341209904</v>
      </c>
      <c r="K158">
        <f t="shared" si="23"/>
        <v>3.734719854232293</v>
      </c>
      <c r="L158">
        <v>0</v>
      </c>
    </row>
    <row r="159" spans="1:12" x14ac:dyDescent="0.4">
      <c r="A159">
        <v>147</v>
      </c>
      <c r="B159">
        <f t="shared" si="18"/>
        <v>19.751503006012022</v>
      </c>
      <c r="C159">
        <f t="shared" si="19"/>
        <v>0.33794140719613597</v>
      </c>
      <c r="D159">
        <f t="shared" si="24"/>
        <v>97.810450560439506</v>
      </c>
      <c r="E159">
        <f t="shared" si="20"/>
        <v>31.219023216774232</v>
      </c>
      <c r="F159">
        <f t="shared" si="25"/>
        <v>13.398616645053968</v>
      </c>
      <c r="G159">
        <f t="shared" si="26"/>
        <v>37.315160500639408</v>
      </c>
      <c r="H159">
        <f t="shared" si="21"/>
        <v>285.43689875220321</v>
      </c>
      <c r="J159">
        <f t="shared" si="22"/>
        <v>1.3398616645053969</v>
      </c>
      <c r="K159">
        <f t="shared" si="23"/>
        <v>3.7315160500639406</v>
      </c>
      <c r="L159">
        <v>0</v>
      </c>
    </row>
    <row r="160" spans="1:12" x14ac:dyDescent="0.4">
      <c r="A160">
        <v>148</v>
      </c>
      <c r="B160">
        <f t="shared" si="18"/>
        <v>19.695390781563127</v>
      </c>
      <c r="C160">
        <f t="shared" si="19"/>
        <v>0.33701951975748645</v>
      </c>
      <c r="D160">
        <f t="shared" si="24"/>
        <v>97.917076638246428</v>
      </c>
      <c r="E160">
        <f t="shared" si="20"/>
        <v>31.193766290095226</v>
      </c>
      <c r="F160">
        <f t="shared" si="25"/>
        <v>13.345948820484482</v>
      </c>
      <c r="G160">
        <f t="shared" si="26"/>
        <v>37.283239827129194</v>
      </c>
      <c r="H160">
        <f t="shared" si="21"/>
        <v>281.44482099002096</v>
      </c>
      <c r="J160">
        <f t="shared" si="22"/>
        <v>1.3345948820484481</v>
      </c>
      <c r="K160">
        <f t="shared" si="23"/>
        <v>3.7283239827129195</v>
      </c>
      <c r="L160">
        <v>0</v>
      </c>
    </row>
    <row r="161" spans="1:12" x14ac:dyDescent="0.4">
      <c r="A161">
        <v>149</v>
      </c>
      <c r="B161">
        <f t="shared" si="18"/>
        <v>19.639278557114228</v>
      </c>
      <c r="C161">
        <f t="shared" si="19"/>
        <v>0.33609730907911284</v>
      </c>
      <c r="D161">
        <f t="shared" si="24"/>
        <v>98.024425604716441</v>
      </c>
      <c r="E161">
        <f t="shared" si="20"/>
        <v>31.168147919084667</v>
      </c>
      <c r="F161">
        <f t="shared" si="25"/>
        <v>13.29342225841064</v>
      </c>
      <c r="G161">
        <f t="shared" si="26"/>
        <v>37.251436420777551</v>
      </c>
      <c r="H161">
        <f t="shared" si="21"/>
        <v>277.53375541764075</v>
      </c>
      <c r="J161">
        <f t="shared" si="22"/>
        <v>1.3293422258410641</v>
      </c>
      <c r="K161">
        <f t="shared" si="23"/>
        <v>3.7251436420777551</v>
      </c>
      <c r="L161">
        <v>0</v>
      </c>
    </row>
    <row r="162" spans="1:12" x14ac:dyDescent="0.4">
      <c r="A162">
        <v>150</v>
      </c>
      <c r="B162">
        <f t="shared" si="18"/>
        <v>19.583166332665328</v>
      </c>
      <c r="C162">
        <f t="shared" si="19"/>
        <v>0.33517477604551921</v>
      </c>
      <c r="D162">
        <f t="shared" si="24"/>
        <v>98.13249745984956</v>
      </c>
      <c r="E162">
        <f t="shared" si="20"/>
        <v>31.142168103742556</v>
      </c>
      <c r="F162">
        <f t="shared" si="25"/>
        <v>13.241036350404768</v>
      </c>
      <c r="G162">
        <f t="shared" si="26"/>
        <v>37.219750177853015</v>
      </c>
      <c r="H162">
        <f t="shared" si="21"/>
        <v>273.7015164588617</v>
      </c>
      <c r="J162">
        <f t="shared" si="22"/>
        <v>1.3241036350404767</v>
      </c>
      <c r="K162">
        <f t="shared" si="23"/>
        <v>3.7219750177853017</v>
      </c>
      <c r="L162">
        <v>0</v>
      </c>
    </row>
    <row r="163" spans="1:12" x14ac:dyDescent="0.4">
      <c r="A163">
        <v>151</v>
      </c>
      <c r="B163">
        <f t="shared" si="18"/>
        <v>19.527054108216433</v>
      </c>
      <c r="C163">
        <f t="shared" si="19"/>
        <v>0.33425192154151884</v>
      </c>
      <c r="D163">
        <f t="shared" si="24"/>
        <v>98.241292203645756</v>
      </c>
      <c r="E163">
        <f t="shared" si="20"/>
        <v>31.115826844068906</v>
      </c>
      <c r="F163">
        <f t="shared" si="25"/>
        <v>13.188790488725585</v>
      </c>
      <c r="G163">
        <f t="shared" si="26"/>
        <v>37.18818099194953</v>
      </c>
      <c r="H163">
        <f t="shared" si="21"/>
        <v>269.94599127017761</v>
      </c>
      <c r="J163">
        <f t="shared" si="22"/>
        <v>1.3188790488725586</v>
      </c>
      <c r="K163">
        <f t="shared" si="23"/>
        <v>3.7188180991949529</v>
      </c>
      <c r="L163">
        <v>0</v>
      </c>
    </row>
    <row r="164" spans="1:12" x14ac:dyDescent="0.4">
      <c r="A164">
        <v>152</v>
      </c>
      <c r="B164">
        <f t="shared" si="18"/>
        <v>19.470941883767537</v>
      </c>
      <c r="C164">
        <f t="shared" si="19"/>
        <v>0.33332874645223326</v>
      </c>
      <c r="D164">
        <f t="shared" si="24"/>
        <v>98.350809836105071</v>
      </c>
      <c r="E164">
        <f t="shared" si="20"/>
        <v>31.089124140063696</v>
      </c>
      <c r="F164">
        <f t="shared" si="25"/>
        <v>13.136684066341216</v>
      </c>
      <c r="G164">
        <f t="shared" si="26"/>
        <v>37.156728754028364</v>
      </c>
      <c r="H164">
        <f t="shared" si="21"/>
        <v>266.26513686306106</v>
      </c>
      <c r="J164">
        <f t="shared" si="22"/>
        <v>1.3136684066341215</v>
      </c>
      <c r="K164">
        <f t="shared" si="23"/>
        <v>3.7156728754028365</v>
      </c>
      <c r="L164">
        <v>0</v>
      </c>
    </row>
    <row r="165" spans="1:12" x14ac:dyDescent="0.4">
      <c r="A165">
        <v>153</v>
      </c>
      <c r="B165">
        <f t="shared" si="18"/>
        <v>19.414829659318638</v>
      </c>
      <c r="C165">
        <f t="shared" si="19"/>
        <v>0.33240525166309137</v>
      </c>
      <c r="D165">
        <f t="shared" si="24"/>
        <v>98.461050357227464</v>
      </c>
      <c r="E165">
        <f t="shared" si="20"/>
        <v>31.062059991726947</v>
      </c>
      <c r="F165">
        <f t="shared" si="25"/>
        <v>13.084716476951746</v>
      </c>
      <c r="G165">
        <f t="shared" si="26"/>
        <v>37.125393352459746</v>
      </c>
      <c r="H165">
        <f t="shared" si="21"/>
        <v>262.65697735801177</v>
      </c>
      <c r="J165">
        <f t="shared" si="22"/>
        <v>1.3084716476951745</v>
      </c>
      <c r="K165">
        <f t="shared" si="23"/>
        <v>3.7125393352459746</v>
      </c>
      <c r="L165">
        <v>0</v>
      </c>
    </row>
    <row r="166" spans="1:12" x14ac:dyDescent="0.4">
      <c r="A166">
        <v>154</v>
      </c>
      <c r="B166">
        <f t="shared" si="18"/>
        <v>19.358717434869739</v>
      </c>
      <c r="C166">
        <f t="shared" si="19"/>
        <v>0.33148143805982888</v>
      </c>
      <c r="D166">
        <f t="shared" si="24"/>
        <v>98.572013767012976</v>
      </c>
      <c r="E166">
        <f t="shared" si="20"/>
        <v>31.034634399058646</v>
      </c>
      <c r="F166">
        <f t="shared" si="25"/>
        <v>13.032887115011508</v>
      </c>
      <c r="G166">
        <f t="shared" si="26"/>
        <v>37.094174673064323</v>
      </c>
      <c r="H166">
        <f t="shared" si="21"/>
        <v>259.11960136349813</v>
      </c>
      <c r="J166">
        <f t="shared" si="22"/>
        <v>1.3032887115011509</v>
      </c>
      <c r="K166">
        <f t="shared" si="23"/>
        <v>3.7094174673064324</v>
      </c>
      <c r="L166">
        <v>0</v>
      </c>
    </row>
    <row r="167" spans="1:12" x14ac:dyDescent="0.4">
      <c r="A167">
        <v>155</v>
      </c>
      <c r="B167">
        <f t="shared" si="18"/>
        <v>19.302605210420843</v>
      </c>
      <c r="C167">
        <f t="shared" si="19"/>
        <v>0.3305573065284873</v>
      </c>
      <c r="D167">
        <f t="shared" si="24"/>
        <v>98.683700065461565</v>
      </c>
      <c r="E167">
        <f t="shared" si="20"/>
        <v>31.006847362058792</v>
      </c>
      <c r="F167">
        <f t="shared" si="25"/>
        <v>12.981195375750957</v>
      </c>
      <c r="G167">
        <f t="shared" si="26"/>
        <v>37.063072599154282</v>
      </c>
      <c r="H167">
        <f t="shared" si="21"/>
        <v>255.6511594733665</v>
      </c>
      <c r="J167">
        <f t="shared" si="22"/>
        <v>1.2981195375750958</v>
      </c>
      <c r="K167">
        <f t="shared" si="23"/>
        <v>3.7063072599154281</v>
      </c>
      <c r="L167">
        <v>0</v>
      </c>
    </row>
    <row r="168" spans="1:12" x14ac:dyDescent="0.4">
      <c r="A168">
        <v>156</v>
      </c>
      <c r="B168">
        <f t="shared" si="18"/>
        <v>19.246492985971944</v>
      </c>
      <c r="C168">
        <f t="shared" si="19"/>
        <v>0.32963285795541281</v>
      </c>
      <c r="D168">
        <f t="shared" si="24"/>
        <v>98.796109252573288</v>
      </c>
      <c r="E168">
        <f t="shared" si="20"/>
        <v>30.978698880727386</v>
      </c>
      <c r="F168">
        <f t="shared" si="25"/>
        <v>12.929640655198106</v>
      </c>
      <c r="G168">
        <f t="shared" si="26"/>
        <v>37.032087011574177</v>
      </c>
      <c r="H168">
        <f t="shared" si="21"/>
        <v>252.24986187663637</v>
      </c>
      <c r="J168">
        <f t="shared" si="22"/>
        <v>1.2929640655198107</v>
      </c>
      <c r="K168">
        <f t="shared" si="23"/>
        <v>3.7032087011574175</v>
      </c>
      <c r="L168">
        <v>0</v>
      </c>
    </row>
    <row r="169" spans="1:12" x14ac:dyDescent="0.4">
      <c r="A169">
        <v>157</v>
      </c>
      <c r="B169">
        <f t="shared" si="18"/>
        <v>19.190380761523045</v>
      </c>
      <c r="C169">
        <f t="shared" si="19"/>
        <v>0.32870809322725592</v>
      </c>
      <c r="D169">
        <f t="shared" si="24"/>
        <v>98.909241328348088</v>
      </c>
      <c r="E169">
        <f t="shared" si="20"/>
        <v>30.950188955064434</v>
      </c>
      <c r="F169">
        <f t="shared" si="25"/>
        <v>12.878222350199767</v>
      </c>
      <c r="G169">
        <f t="shared" si="26"/>
        <v>37.001217788741677</v>
      </c>
      <c r="H169">
        <f t="shared" si="21"/>
        <v>248.91397607395996</v>
      </c>
      <c r="J169">
        <f t="shared" si="22"/>
        <v>1.2878222350199766</v>
      </c>
      <c r="K169">
        <f t="shared" si="23"/>
        <v>3.7001217788741676</v>
      </c>
      <c r="L169">
        <v>0</v>
      </c>
    </row>
    <row r="170" spans="1:12" x14ac:dyDescent="0.4">
      <c r="A170">
        <v>158</v>
      </c>
      <c r="B170">
        <f t="shared" si="18"/>
        <v>19.134268537074149</v>
      </c>
      <c r="C170">
        <f t="shared" si="19"/>
        <v>0.32778301323097037</v>
      </c>
      <c r="D170">
        <f t="shared" si="24"/>
        <v>99.023096292785965</v>
      </c>
      <c r="E170">
        <f t="shared" si="20"/>
        <v>30.921317585069943</v>
      </c>
      <c r="F170">
        <f t="shared" si="25"/>
        <v>12.82693985844227</v>
      </c>
      <c r="G170">
        <f t="shared" si="26"/>
        <v>36.970464806687843</v>
      </c>
      <c r="H170">
        <f t="shared" si="21"/>
        <v>245.64182469534273</v>
      </c>
      <c r="J170">
        <f t="shared" si="22"/>
        <v>1.282693985844227</v>
      </c>
      <c r="K170">
        <f t="shared" si="23"/>
        <v>3.6970464806687842</v>
      </c>
      <c r="L170">
        <v>0</v>
      </c>
    </row>
    <row r="171" spans="1:12" x14ac:dyDescent="0.4">
      <c r="A171">
        <v>159</v>
      </c>
      <c r="B171">
        <f t="shared" si="18"/>
        <v>19.07815631262525</v>
      </c>
      <c r="C171">
        <f t="shared" si="19"/>
        <v>0.32685761885381209</v>
      </c>
      <c r="D171">
        <f t="shared" si="24"/>
        <v>99.137674145886962</v>
      </c>
      <c r="E171">
        <f t="shared" si="20"/>
        <v>30.892084770743892</v>
      </c>
      <c r="F171">
        <f t="shared" si="25"/>
        <v>12.775792578471993</v>
      </c>
      <c r="G171">
        <f t="shared" si="26"/>
        <v>36.939827939097313</v>
      </c>
      <c r="H171">
        <f t="shared" si="21"/>
        <v>242.43178341402734</v>
      </c>
      <c r="J171">
        <f t="shared" si="22"/>
        <v>1.2775792578471994</v>
      </c>
      <c r="K171">
        <f t="shared" si="23"/>
        <v>3.6939827939097314</v>
      </c>
      <c r="L171">
        <v>0</v>
      </c>
    </row>
    <row r="172" spans="1:12" x14ac:dyDescent="0.4">
      <c r="A172">
        <v>160</v>
      </c>
      <c r="B172">
        <f t="shared" si="18"/>
        <v>19.022044088176351</v>
      </c>
      <c r="C172">
        <f t="shared" si="19"/>
        <v>0.32593191098333857</v>
      </c>
      <c r="D172">
        <f t="shared" si="24"/>
        <v>99.25297488765105</v>
      </c>
      <c r="E172">
        <f t="shared" si="20"/>
        <v>30.862490512086296</v>
      </c>
      <c r="F172">
        <f t="shared" si="25"/>
        <v>12.724779909715409</v>
      </c>
      <c r="G172">
        <f t="shared" si="26"/>
        <v>36.909307057348101</v>
      </c>
      <c r="H172">
        <f t="shared" si="21"/>
        <v>239.28227895174544</v>
      </c>
      <c r="J172">
        <f t="shared" si="22"/>
        <v>1.2724779909715409</v>
      </c>
      <c r="K172">
        <f t="shared" si="23"/>
        <v>3.69093070573481</v>
      </c>
      <c r="L172">
        <v>0</v>
      </c>
    </row>
    <row r="173" spans="1:12" x14ac:dyDescent="0.4">
      <c r="A173">
        <v>161</v>
      </c>
      <c r="B173">
        <f t="shared" si="18"/>
        <v>18.965931863727455</v>
      </c>
      <c r="C173">
        <f t="shared" si="19"/>
        <v>0.3250058905074083</v>
      </c>
      <c r="D173">
        <f t="shared" si="24"/>
        <v>99.368998518078229</v>
      </c>
      <c r="E173">
        <f t="shared" si="20"/>
        <v>30.832534809097154</v>
      </c>
      <c r="F173">
        <f t="shared" si="25"/>
        <v>12.673901252498837</v>
      </c>
      <c r="G173">
        <f t="shared" si="26"/>
        <v>36.878902030551217</v>
      </c>
      <c r="H173">
        <f t="shared" si="21"/>
        <v>236.19178717078285</v>
      </c>
      <c r="J173">
        <f t="shared" si="22"/>
        <v>1.2673901252498836</v>
      </c>
      <c r="K173">
        <f t="shared" si="23"/>
        <v>3.6878902030551215</v>
      </c>
      <c r="L173">
        <v>0</v>
      </c>
    </row>
    <row r="174" spans="1:12" x14ac:dyDescent="0.4">
      <c r="A174">
        <v>162</v>
      </c>
      <c r="B174">
        <f t="shared" si="18"/>
        <v>18.90981963927856</v>
      </c>
      <c r="C174">
        <f t="shared" si="19"/>
        <v>0.32407955831417917</v>
      </c>
      <c r="D174">
        <f t="shared" si="24"/>
        <v>99.485745037168527</v>
      </c>
      <c r="E174">
        <f t="shared" si="20"/>
        <v>30.802217661776453</v>
      </c>
      <c r="F174">
        <f t="shared" si="25"/>
        <v>12.623156008067861</v>
      </c>
      <c r="G174">
        <f t="shared" si="26"/>
        <v>36.848612725589987</v>
      </c>
      <c r="H174">
        <f t="shared" si="21"/>
        <v>233.15883124857942</v>
      </c>
      <c r="J174">
        <f t="shared" si="22"/>
        <v>1.2623156008067862</v>
      </c>
      <c r="K174">
        <f t="shared" si="23"/>
        <v>3.6848612725589986</v>
      </c>
      <c r="L174">
        <v>0</v>
      </c>
    </row>
    <row r="175" spans="1:12" x14ac:dyDescent="0.4">
      <c r="A175">
        <v>163</v>
      </c>
      <c r="B175">
        <f t="shared" si="18"/>
        <v>18.853707414829657</v>
      </c>
      <c r="C175">
        <f t="shared" si="19"/>
        <v>0.3231529152921081</v>
      </c>
      <c r="D175">
        <f t="shared" si="24"/>
        <v>99.603214444921917</v>
      </c>
      <c r="E175">
        <f t="shared" si="20"/>
        <v>30.771539070124213</v>
      </c>
      <c r="F175">
        <f t="shared" si="25"/>
        <v>12.572543578606329</v>
      </c>
      <c r="G175">
        <f t="shared" si="26"/>
        <v>36.818439007159093</v>
      </c>
      <c r="H175">
        <f t="shared" si="21"/>
        <v>230.18197993081191</v>
      </c>
      <c r="J175">
        <f t="shared" si="22"/>
        <v>1.2572543578606328</v>
      </c>
      <c r="K175">
        <f t="shared" si="23"/>
        <v>3.6818439007159092</v>
      </c>
      <c r="L175">
        <v>0</v>
      </c>
    </row>
    <row r="176" spans="1:12" x14ac:dyDescent="0.4">
      <c r="A176">
        <v>164</v>
      </c>
      <c r="B176">
        <f t="shared" si="18"/>
        <v>18.797595190380761</v>
      </c>
      <c r="C176">
        <f t="shared" si="19"/>
        <v>0.32222596232995049</v>
      </c>
      <c r="D176">
        <f t="shared" si="24"/>
        <v>99.721406741338399</v>
      </c>
      <c r="E176">
        <f t="shared" si="20"/>
        <v>30.74049903414042</v>
      </c>
      <c r="F176">
        <f t="shared" si="25"/>
        <v>12.522063367255184</v>
      </c>
      <c r="G176">
        <f t="shared" si="26"/>
        <v>36.788380737803394</v>
      </c>
      <c r="H176">
        <f t="shared" si="21"/>
        <v>227.25984585912923</v>
      </c>
      <c r="J176">
        <f t="shared" si="22"/>
        <v>1.2522063367255183</v>
      </c>
      <c r="K176">
        <f t="shared" si="23"/>
        <v>3.6788380737803394</v>
      </c>
      <c r="L176">
        <v>0</v>
      </c>
    </row>
    <row r="177" spans="1:12" x14ac:dyDescent="0.4">
      <c r="A177">
        <v>165</v>
      </c>
      <c r="B177">
        <f t="shared" si="18"/>
        <v>18.741482965931866</v>
      </c>
      <c r="C177">
        <f t="shared" si="19"/>
        <v>0.32129870031675867</v>
      </c>
      <c r="D177">
        <f t="shared" si="24"/>
        <v>99.840321926417957</v>
      </c>
      <c r="E177">
        <f t="shared" si="20"/>
        <v>30.709097553825089</v>
      </c>
      <c r="F177">
        <f t="shared" si="25"/>
        <v>12.471714778130721</v>
      </c>
      <c r="G177">
        <f t="shared" si="26"/>
        <v>36.758437777956424</v>
      </c>
      <c r="H177">
        <f t="shared" si="21"/>
        <v>224.39108396991597</v>
      </c>
      <c r="J177">
        <f t="shared" si="22"/>
        <v>1.247171477813072</v>
      </c>
      <c r="K177">
        <f t="shared" si="23"/>
        <v>3.6758437777956425</v>
      </c>
      <c r="L177">
        <v>0</v>
      </c>
    </row>
    <row r="178" spans="1:12" x14ac:dyDescent="0.4">
      <c r="A178">
        <v>166</v>
      </c>
      <c r="B178">
        <f t="shared" si="18"/>
        <v>18.685370741482966</v>
      </c>
      <c r="C178">
        <f t="shared" si="19"/>
        <v>0.32037113014188134</v>
      </c>
      <c r="D178">
        <f t="shared" si="24"/>
        <v>99.959960000160635</v>
      </c>
      <c r="E178">
        <f t="shared" si="20"/>
        <v>30.677334629178198</v>
      </c>
      <c r="F178">
        <f t="shared" si="25"/>
        <v>12.421497216342686</v>
      </c>
      <c r="G178">
        <f t="shared" si="26"/>
        <v>36.72860998597865</v>
      </c>
      <c r="H178">
        <f t="shared" si="21"/>
        <v>221.57438996067273</v>
      </c>
      <c r="J178">
        <f t="shared" si="22"/>
        <v>1.2421497216342687</v>
      </c>
      <c r="K178">
        <f t="shared" si="23"/>
        <v>3.6728609985978649</v>
      </c>
      <c r="L178">
        <v>0</v>
      </c>
    </row>
    <row r="179" spans="1:12" x14ac:dyDescent="0.4">
      <c r="A179">
        <v>167</v>
      </c>
      <c r="B179">
        <f t="shared" si="18"/>
        <v>18.629258517034067</v>
      </c>
      <c r="C179">
        <f t="shared" si="19"/>
        <v>0.31944325269496304</v>
      </c>
      <c r="D179">
        <f t="shared" si="24"/>
        <v>100.08032096256642</v>
      </c>
      <c r="E179">
        <f t="shared" si="20"/>
        <v>30.645210260199761</v>
      </c>
      <c r="F179">
        <f t="shared" si="25"/>
        <v>12.371410088011963</v>
      </c>
      <c r="G179">
        <f t="shared" si="26"/>
        <v>36.698897218195469</v>
      </c>
      <c r="H179">
        <f t="shared" si="21"/>
        <v>218.80849882075941</v>
      </c>
      <c r="J179">
        <f t="shared" si="22"/>
        <v>1.2371410088011963</v>
      </c>
      <c r="K179">
        <f t="shared" si="23"/>
        <v>3.6698897218195468</v>
      </c>
      <c r="L179">
        <v>0</v>
      </c>
    </row>
    <row r="180" spans="1:12" x14ac:dyDescent="0.4">
      <c r="A180">
        <v>168</v>
      </c>
      <c r="B180">
        <f t="shared" si="18"/>
        <v>18.573146292585172</v>
      </c>
      <c r="C180">
        <f t="shared" si="19"/>
        <v>0.31851506886594289</v>
      </c>
      <c r="D180">
        <f t="shared" si="24"/>
        <v>100.20140481363529</v>
      </c>
      <c r="E180">
        <f t="shared" si="20"/>
        <v>30.612724446889771</v>
      </c>
      <c r="F180">
        <f t="shared" si="25"/>
        <v>12.321452800287959</v>
      </c>
      <c r="G180">
        <f t="shared" si="26"/>
        <v>36.669299328934912</v>
      </c>
      <c r="H180">
        <f t="shared" si="21"/>
        <v>216.0921834234442</v>
      </c>
      <c r="J180">
        <f t="shared" si="22"/>
        <v>1.232145280028796</v>
      </c>
      <c r="K180">
        <f t="shared" si="23"/>
        <v>3.666929932893491</v>
      </c>
      <c r="L180">
        <v>0</v>
      </c>
    </row>
    <row r="181" spans="1:12" x14ac:dyDescent="0.4">
      <c r="A181">
        <v>169</v>
      </c>
      <c r="B181">
        <f t="shared" si="18"/>
        <v>18.517034068136272</v>
      </c>
      <c r="C181">
        <f t="shared" si="19"/>
        <v>0.3175865795450537</v>
      </c>
      <c r="D181">
        <f t="shared" si="24"/>
        <v>100.32321155336726</v>
      </c>
      <c r="E181">
        <f t="shared" si="20"/>
        <v>30.579877189248236</v>
      </c>
      <c r="F181">
        <f t="shared" si="25"/>
        <v>12.271624761365638</v>
      </c>
      <c r="G181">
        <f t="shared" si="26"/>
        <v>36.639816170565084</v>
      </c>
      <c r="H181">
        <f t="shared" si="21"/>
        <v>213.42425317635477</v>
      </c>
      <c r="J181">
        <f t="shared" si="22"/>
        <v>1.2271624761365638</v>
      </c>
      <c r="K181">
        <f t="shared" si="23"/>
        <v>3.6639816170565083</v>
      </c>
      <c r="L181">
        <v>0</v>
      </c>
    </row>
    <row r="182" spans="1:12" x14ac:dyDescent="0.4">
      <c r="A182">
        <v>170</v>
      </c>
      <c r="B182">
        <f t="shared" si="18"/>
        <v>18.460921843687373</v>
      </c>
      <c r="C182">
        <f t="shared" si="19"/>
        <v>0.31665778562282154</v>
      </c>
      <c r="D182">
        <f t="shared" si="24"/>
        <v>100.44574118176232</v>
      </c>
      <c r="E182">
        <f t="shared" si="20"/>
        <v>30.546668487275156</v>
      </c>
      <c r="F182">
        <f t="shared" si="25"/>
        <v>12.221925380502231</v>
      </c>
      <c r="G182">
        <f t="shared" si="26"/>
        <v>36.610447593531362</v>
      </c>
      <c r="H182">
        <f t="shared" si="21"/>
        <v>210.80355272757782</v>
      </c>
      <c r="J182">
        <f t="shared" si="22"/>
        <v>1.2221925380502232</v>
      </c>
      <c r="K182">
        <f t="shared" si="23"/>
        <v>3.6610447593531363</v>
      </c>
      <c r="L182">
        <v>0</v>
      </c>
    </row>
    <row r="183" spans="1:12" x14ac:dyDescent="0.4">
      <c r="A183">
        <v>171</v>
      </c>
      <c r="B183">
        <f t="shared" si="18"/>
        <v>18.404809619238478</v>
      </c>
      <c r="C183">
        <f t="shared" si="19"/>
        <v>0.31572868799006459</v>
      </c>
      <c r="D183">
        <f t="shared" si="24"/>
        <v>100.56899369882049</v>
      </c>
      <c r="E183">
        <f t="shared" si="20"/>
        <v>30.513098340970515</v>
      </c>
      <c r="F183">
        <f t="shared" si="25"/>
        <v>12.172354068033638</v>
      </c>
      <c r="G183">
        <f t="shared" si="26"/>
        <v>36.581193446393243</v>
      </c>
      <c r="H183">
        <f t="shared" si="21"/>
        <v>208.228960724806</v>
      </c>
      <c r="J183">
        <f t="shared" si="22"/>
        <v>1.2172354068033637</v>
      </c>
      <c r="K183">
        <f t="shared" si="23"/>
        <v>3.6581193446393243</v>
      </c>
      <c r="L183">
        <v>0</v>
      </c>
    </row>
    <row r="184" spans="1:12" x14ac:dyDescent="0.4">
      <c r="A184">
        <v>172</v>
      </c>
      <c r="B184">
        <f t="shared" si="18"/>
        <v>18.348697394789578</v>
      </c>
      <c r="C184">
        <f t="shared" si="19"/>
        <v>0.31479928753789216</v>
      </c>
      <c r="D184">
        <f t="shared" si="24"/>
        <v>100.69296910454173</v>
      </c>
      <c r="E184">
        <f t="shared" si="20"/>
        <v>30.479166750334343</v>
      </c>
      <c r="F184">
        <f t="shared" si="25"/>
        <v>12.122910235390497</v>
      </c>
      <c r="G184">
        <f t="shared" si="26"/>
        <v>36.552053575861038</v>
      </c>
      <c r="H184">
        <f t="shared" si="21"/>
        <v>205.69938862506871</v>
      </c>
      <c r="J184">
        <f t="shared" si="22"/>
        <v>1.2122910235390498</v>
      </c>
      <c r="K184">
        <f t="shared" si="23"/>
        <v>3.6552053575861039</v>
      </c>
      <c r="L184">
        <v>0</v>
      </c>
    </row>
    <row r="185" spans="1:12" x14ac:dyDescent="0.4">
      <c r="A185">
        <v>173</v>
      </c>
      <c r="B185">
        <f t="shared" si="18"/>
        <v>18.292585170340679</v>
      </c>
      <c r="C185">
        <f t="shared" si="19"/>
        <v>0.31386958515770408</v>
      </c>
      <c r="D185">
        <f t="shared" si="24"/>
        <v>100.81766739892612</v>
      </c>
      <c r="E185">
        <f t="shared" si="20"/>
        <v>30.444873715366597</v>
      </c>
      <c r="F185">
        <f t="shared" si="25"/>
        <v>12.0735932951139</v>
      </c>
      <c r="G185">
        <f t="shared" si="26"/>
        <v>36.523027826832141</v>
      </c>
      <c r="H185">
        <f t="shared" si="21"/>
        <v>203.2137795526894</v>
      </c>
      <c r="J185">
        <f t="shared" si="22"/>
        <v>1.20735932951139</v>
      </c>
      <c r="K185">
        <f t="shared" si="23"/>
        <v>3.652302782683214</v>
      </c>
      <c r="L185">
        <v>0</v>
      </c>
    </row>
    <row r="186" spans="1:12" x14ac:dyDescent="0.4">
      <c r="A186">
        <v>174</v>
      </c>
      <c r="B186">
        <f t="shared" si="18"/>
        <v>18.236472945891784</v>
      </c>
      <c r="C186">
        <f t="shared" si="19"/>
        <v>0.3129395817411898</v>
      </c>
      <c r="D186">
        <f t="shared" si="24"/>
        <v>100.94308858197356</v>
      </c>
      <c r="E186">
        <f t="shared" si="20"/>
        <v>30.410219236067334</v>
      </c>
      <c r="F186">
        <f t="shared" si="25"/>
        <v>12.024402660870878</v>
      </c>
      <c r="G186">
        <f t="shared" si="26"/>
        <v>36.494116042427201</v>
      </c>
      <c r="H186">
        <f t="shared" si="21"/>
        <v>200.77110720327806</v>
      </c>
      <c r="J186">
        <f t="shared" si="22"/>
        <v>1.2024402660870879</v>
      </c>
      <c r="K186">
        <f t="shared" si="23"/>
        <v>3.64941160424272</v>
      </c>
      <c r="L186">
        <v>0</v>
      </c>
    </row>
    <row r="187" spans="1:12" x14ac:dyDescent="0.4">
      <c r="A187">
        <v>175</v>
      </c>
      <c r="B187">
        <f t="shared" si="18"/>
        <v>18.180360721442888</v>
      </c>
      <c r="C187">
        <f t="shared" si="19"/>
        <v>0.31200927818032748</v>
      </c>
      <c r="D187">
        <f t="shared" si="24"/>
        <v>101.06923265368411</v>
      </c>
      <c r="E187">
        <f t="shared" si="20"/>
        <v>30.375203312436497</v>
      </c>
      <c r="F187">
        <f t="shared" si="25"/>
        <v>11.975337747469478</v>
      </c>
      <c r="G187">
        <f t="shared" si="26"/>
        <v>36.465318064025858</v>
      </c>
      <c r="H187">
        <f t="shared" si="21"/>
        <v>198.3703747916241</v>
      </c>
      <c r="J187">
        <f t="shared" si="22"/>
        <v>1.1975337747469479</v>
      </c>
      <c r="K187">
        <f t="shared" si="23"/>
        <v>3.646531806402586</v>
      </c>
      <c r="L187">
        <v>0</v>
      </c>
    </row>
    <row r="188" spans="1:12" x14ac:dyDescent="0.4">
      <c r="A188">
        <v>176</v>
      </c>
      <c r="B188">
        <f t="shared" si="18"/>
        <v>18.124248496993989</v>
      </c>
      <c r="C188">
        <f t="shared" si="19"/>
        <v>0.31107867536738304</v>
      </c>
      <c r="D188">
        <f t="shared" si="24"/>
        <v>101.19609961405777</v>
      </c>
      <c r="E188">
        <f t="shared" si="20"/>
        <v>30.339825944474121</v>
      </c>
      <c r="F188">
        <f t="shared" si="25"/>
        <v>11.92639797087357</v>
      </c>
      <c r="G188">
        <f t="shared" si="26"/>
        <v>36.43663373130228</v>
      </c>
      <c r="H188">
        <f t="shared" si="21"/>
        <v>196.01061404151645</v>
      </c>
      <c r="J188">
        <f t="shared" si="22"/>
        <v>1.192639797087357</v>
      </c>
      <c r="K188">
        <f t="shared" si="23"/>
        <v>3.6436633731302281</v>
      </c>
      <c r="L188">
        <v>0</v>
      </c>
    </row>
    <row r="189" spans="1:12" x14ac:dyDescent="0.4">
      <c r="A189">
        <v>177</v>
      </c>
      <c r="B189">
        <f t="shared" si="18"/>
        <v>18.06813627254509</v>
      </c>
      <c r="C189">
        <f t="shared" si="19"/>
        <v>0.31014777419490969</v>
      </c>
      <c r="D189">
        <f t="shared" si="24"/>
        <v>101.32368946309452</v>
      </c>
      <c r="E189">
        <f t="shared" si="20"/>
        <v>30.304087132180193</v>
      </c>
      <c r="F189">
        <f t="shared" si="25"/>
        <v>11.877582748217389</v>
      </c>
      <c r="G189">
        <f t="shared" si="26"/>
        <v>36.408062882260467</v>
      </c>
      <c r="H189">
        <f t="shared" si="21"/>
        <v>193.69088421558146</v>
      </c>
      <c r="J189">
        <f t="shared" si="22"/>
        <v>1.1877582748217388</v>
      </c>
      <c r="K189">
        <f t="shared" si="23"/>
        <v>3.6408062882260466</v>
      </c>
      <c r="L189">
        <v>0</v>
      </c>
    </row>
    <row r="190" spans="1:12" x14ac:dyDescent="0.4">
      <c r="A190">
        <v>178</v>
      </c>
      <c r="B190">
        <f t="shared" si="18"/>
        <v>18.012024048096194</v>
      </c>
      <c r="C190">
        <f t="shared" si="19"/>
        <v>0.30921657555574655</v>
      </c>
      <c r="D190">
        <f t="shared" si="24"/>
        <v>101.45200220079437</v>
      </c>
      <c r="E190">
        <f t="shared" si="20"/>
        <v>30.267986875554719</v>
      </c>
      <c r="F190">
        <f t="shared" si="25"/>
        <v>11.828891497819622</v>
      </c>
      <c r="G190">
        <f t="shared" si="26"/>
        <v>36.379605353269177</v>
      </c>
      <c r="H190">
        <f t="shared" si="21"/>
        <v>191.41027118334213</v>
      </c>
      <c r="J190">
        <f t="shared" si="22"/>
        <v>1.1828891497819622</v>
      </c>
      <c r="K190">
        <f t="shared" si="23"/>
        <v>3.6379605353269175</v>
      </c>
      <c r="L190">
        <v>0</v>
      </c>
    </row>
    <row r="191" spans="1:12" x14ac:dyDescent="0.4">
      <c r="A191">
        <v>179</v>
      </c>
      <c r="B191">
        <f t="shared" si="18"/>
        <v>17.955911823647295</v>
      </c>
      <c r="C191">
        <f t="shared" si="19"/>
        <v>0.30828508034301799</v>
      </c>
      <c r="D191">
        <f t="shared" si="24"/>
        <v>101.58103782715733</v>
      </c>
      <c r="E191">
        <f t="shared" si="20"/>
        <v>30.231525174597685</v>
      </c>
      <c r="F191">
        <f t="shared" si="25"/>
        <v>11.780323639197395</v>
      </c>
      <c r="G191">
        <f t="shared" si="26"/>
        <v>36.351260979096665</v>
      </c>
      <c r="H191">
        <f t="shared" si="21"/>
        <v>189.16788652579083</v>
      </c>
      <c r="J191">
        <f t="shared" si="22"/>
        <v>1.1780323639197394</v>
      </c>
      <c r="K191">
        <f t="shared" si="23"/>
        <v>3.6351260979096667</v>
      </c>
      <c r="L191">
        <v>0</v>
      </c>
    </row>
    <row r="192" spans="1:12" x14ac:dyDescent="0.4">
      <c r="A192">
        <v>180</v>
      </c>
      <c r="B192">
        <f t="shared" si="18"/>
        <v>17.899799599198396</v>
      </c>
      <c r="C192">
        <f t="shared" si="19"/>
        <v>0.30735328945013318</v>
      </c>
      <c r="D192">
        <f t="shared" si="24"/>
        <v>101.71079634218336</v>
      </c>
      <c r="E192">
        <f t="shared" si="20"/>
        <v>30.194702029309127</v>
      </c>
      <c r="F192">
        <f t="shared" si="25"/>
        <v>11.731878593079784</v>
      </c>
      <c r="G192">
        <f t="shared" si="26"/>
        <v>36.323029592945076</v>
      </c>
      <c r="H192">
        <f t="shared" si="21"/>
        <v>186.96286667485188</v>
      </c>
      <c r="J192">
        <f t="shared" si="22"/>
        <v>1.1731878593079785</v>
      </c>
      <c r="K192">
        <f t="shared" si="23"/>
        <v>3.6323029592945075</v>
      </c>
      <c r="L192">
        <v>0</v>
      </c>
    </row>
    <row r="193" spans="1:12" x14ac:dyDescent="0.4">
      <c r="A193">
        <v>181</v>
      </c>
      <c r="B193">
        <f t="shared" si="18"/>
        <v>17.8436873747495</v>
      </c>
      <c r="C193">
        <f t="shared" si="19"/>
        <v>0.30642120377078458</v>
      </c>
      <c r="D193">
        <f t="shared" si="24"/>
        <v>101.8412777458725</v>
      </c>
      <c r="E193">
        <f t="shared" si="20"/>
        <v>30.157517439689002</v>
      </c>
      <c r="F193">
        <f t="shared" si="25"/>
        <v>11.683555781421155</v>
      </c>
      <c r="G193">
        <f t="shared" si="26"/>
        <v>36.294911026484669</v>
      </c>
      <c r="H193">
        <f t="shared" si="21"/>
        <v>184.79437208618555</v>
      </c>
      <c r="J193">
        <f t="shared" si="22"/>
        <v>1.1683555781421155</v>
      </c>
      <c r="K193">
        <f t="shared" si="23"/>
        <v>3.6294911026484669</v>
      </c>
      <c r="L193">
        <v>0</v>
      </c>
    </row>
    <row r="194" spans="1:12" x14ac:dyDescent="0.4">
      <c r="A194">
        <v>182</v>
      </c>
      <c r="B194">
        <f t="shared" si="18"/>
        <v>17.787575150300601</v>
      </c>
      <c r="C194">
        <f t="shared" si="19"/>
        <v>0.30548882419894741</v>
      </c>
      <c r="D194">
        <f t="shared" si="24"/>
        <v>101.97248203822474</v>
      </c>
      <c r="E194">
        <f t="shared" si="20"/>
        <v>30.119971405737331</v>
      </c>
      <c r="F194">
        <f t="shared" si="25"/>
        <v>11.635354627414101</v>
      </c>
      <c r="G194">
        <f t="shared" si="26"/>
        <v>36.266905109887631</v>
      </c>
      <c r="H194">
        <f t="shared" si="21"/>
        <v>182.66158644387534</v>
      </c>
      <c r="J194">
        <f t="shared" si="22"/>
        <v>1.1635354627414101</v>
      </c>
      <c r="K194">
        <f t="shared" si="23"/>
        <v>3.6266905109887633</v>
      </c>
      <c r="L194">
        <v>0</v>
      </c>
    </row>
    <row r="195" spans="1:12" x14ac:dyDescent="0.4">
      <c r="A195">
        <v>183</v>
      </c>
      <c r="B195">
        <f t="shared" si="18"/>
        <v>17.731462925851702</v>
      </c>
      <c r="C195">
        <f t="shared" si="19"/>
        <v>0.30455615162887889</v>
      </c>
      <c r="D195">
        <f t="shared" si="24"/>
        <v>102.10440921924008</v>
      </c>
      <c r="E195">
        <f t="shared" si="20"/>
        <v>30.082063927454108</v>
      </c>
      <c r="F195">
        <f t="shared" si="25"/>
        <v>11.587274555502113</v>
      </c>
      <c r="G195">
        <f t="shared" si="26"/>
        <v>36.239011671861711</v>
      </c>
      <c r="H195">
        <f t="shared" si="21"/>
        <v>180.56371589559419</v>
      </c>
      <c r="J195">
        <f t="shared" si="22"/>
        <v>1.1587274555502112</v>
      </c>
      <c r="K195">
        <f t="shared" si="23"/>
        <v>3.6239011671861712</v>
      </c>
      <c r="L195">
        <v>0</v>
      </c>
    </row>
    <row r="196" spans="1:12" x14ac:dyDescent="0.4">
      <c r="A196">
        <v>184</v>
      </c>
      <c r="B196">
        <f t="shared" si="18"/>
        <v>17.675350701402806</v>
      </c>
      <c r="C196">
        <f t="shared" si="19"/>
        <v>0.30362318695511714</v>
      </c>
      <c r="D196">
        <f t="shared" si="24"/>
        <v>102.23705928891852</v>
      </c>
      <c r="E196">
        <f t="shared" si="20"/>
        <v>30.043795004839339</v>
      </c>
      <c r="F196">
        <f t="shared" si="25"/>
        <v>11.53931499139205</v>
      </c>
      <c r="G196">
        <f t="shared" si="26"/>
        <v>36.211230539683534</v>
      </c>
      <c r="H196">
        <f t="shared" si="21"/>
        <v>178.49998831693344</v>
      </c>
      <c r="J196">
        <f t="shared" si="22"/>
        <v>1.1539314991392051</v>
      </c>
      <c r="K196">
        <f t="shared" si="23"/>
        <v>3.6211230539683532</v>
      </c>
      <c r="L196">
        <v>0</v>
      </c>
    </row>
    <row r="197" spans="1:12" x14ac:dyDescent="0.4">
      <c r="A197">
        <v>185</v>
      </c>
      <c r="B197">
        <f t="shared" si="18"/>
        <v>17.61923847695391</v>
      </c>
      <c r="C197">
        <f t="shared" si="19"/>
        <v>0.30268993107248054</v>
      </c>
      <c r="D197">
        <f t="shared" si="24"/>
        <v>102.37043224726006</v>
      </c>
      <c r="E197">
        <f t="shared" si="20"/>
        <v>30.005164637893017</v>
      </c>
      <c r="F197">
        <f t="shared" si="25"/>
        <v>11.491475362066204</v>
      </c>
      <c r="G197">
        <f t="shared" si="26"/>
        <v>36.183561539231711</v>
      </c>
      <c r="H197">
        <f t="shared" si="21"/>
        <v>176.46965260361881</v>
      </c>
      <c r="J197">
        <f t="shared" si="22"/>
        <v>1.1491475362066204</v>
      </c>
      <c r="K197">
        <f t="shared" si="23"/>
        <v>3.618356153923171</v>
      </c>
      <c r="L197">
        <v>0</v>
      </c>
    </row>
    <row r="198" spans="1:12" x14ac:dyDescent="0.4">
      <c r="A198">
        <v>186</v>
      </c>
      <c r="B198">
        <f t="shared" si="18"/>
        <v>17.563126252505008</v>
      </c>
      <c r="C198">
        <f t="shared" si="19"/>
        <v>0.3017563848760666</v>
      </c>
      <c r="D198">
        <f t="shared" si="24"/>
        <v>102.50452809426469</v>
      </c>
      <c r="E198">
        <f t="shared" si="20"/>
        <v>29.96617282661515</v>
      </c>
      <c r="F198">
        <f t="shared" si="25"/>
        <v>11.443755095794117</v>
      </c>
      <c r="G198">
        <f t="shared" si="26"/>
        <v>36.156004495019552</v>
      </c>
      <c r="H198">
        <f t="shared" si="21"/>
        <v>174.47197799043028</v>
      </c>
      <c r="J198">
        <f t="shared" si="22"/>
        <v>1.1443755095794117</v>
      </c>
      <c r="K198">
        <f t="shared" si="23"/>
        <v>3.6156004495019554</v>
      </c>
      <c r="L198">
        <v>0</v>
      </c>
    </row>
    <row r="199" spans="1:12" x14ac:dyDescent="0.4">
      <c r="A199">
        <v>187</v>
      </c>
      <c r="B199">
        <f t="shared" si="18"/>
        <v>17.507014028056112</v>
      </c>
      <c r="C199">
        <f t="shared" si="19"/>
        <v>0.30082254926125163</v>
      </c>
      <c r="D199">
        <f t="shared" si="24"/>
        <v>102.63934682993241</v>
      </c>
      <c r="E199">
        <f t="shared" si="20"/>
        <v>29.926819571005737</v>
      </c>
      <c r="F199">
        <f t="shared" si="25"/>
        <v>11.396153622144155</v>
      </c>
      <c r="G199">
        <f t="shared" si="26"/>
        <v>36.12855923022763</v>
      </c>
      <c r="H199">
        <f t="shared" si="21"/>
        <v>172.50625339566432</v>
      </c>
      <c r="J199">
        <f t="shared" si="22"/>
        <v>1.1396153622144154</v>
      </c>
      <c r="K199">
        <f t="shared" si="23"/>
        <v>3.6128559230227628</v>
      </c>
      <c r="L199">
        <v>0</v>
      </c>
    </row>
    <row r="200" spans="1:12" x14ac:dyDescent="0.4">
      <c r="A200">
        <v>188</v>
      </c>
      <c r="B200">
        <f t="shared" si="18"/>
        <v>17.450901803607216</v>
      </c>
      <c r="C200">
        <f t="shared" si="19"/>
        <v>0.29988842512368907</v>
      </c>
      <c r="D200">
        <f t="shared" si="24"/>
        <v>102.77488845426322</v>
      </c>
      <c r="E200">
        <f t="shared" si="20"/>
        <v>29.887104871064778</v>
      </c>
      <c r="F200">
        <f t="shared" si="25"/>
        <v>11.348670371994707</v>
      </c>
      <c r="G200">
        <f t="shared" si="26"/>
        <v>36.101225566735977</v>
      </c>
      <c r="H200">
        <f t="shared" si="21"/>
        <v>170.57178679006532</v>
      </c>
      <c r="J200">
        <f t="shared" si="22"/>
        <v>1.1348670371994707</v>
      </c>
      <c r="K200">
        <f t="shared" si="23"/>
        <v>3.6101225566735975</v>
      </c>
      <c r="L200">
        <v>0</v>
      </c>
    </row>
    <row r="201" spans="1:12" x14ac:dyDescent="0.4">
      <c r="A201">
        <v>189</v>
      </c>
      <c r="B201">
        <f t="shared" si="18"/>
        <v>17.394789579158317</v>
      </c>
      <c r="C201">
        <f t="shared" si="19"/>
        <v>0.29895401335930938</v>
      </c>
      <c r="D201">
        <f t="shared" si="24"/>
        <v>102.91115296725715</v>
      </c>
      <c r="E201">
        <f t="shared" si="20"/>
        <v>29.847028726792267</v>
      </c>
      <c r="F201">
        <f t="shared" si="25"/>
        <v>11.301304777545216</v>
      </c>
      <c r="G201">
        <f t="shared" si="26"/>
        <v>36.074003325156063</v>
      </c>
      <c r="H201">
        <f t="shared" si="21"/>
        <v>168.66790458917896</v>
      </c>
      <c r="J201">
        <f t="shared" si="22"/>
        <v>1.1301304777545216</v>
      </c>
      <c r="K201">
        <f t="shared" si="23"/>
        <v>3.6074003325156063</v>
      </c>
      <c r="L201">
        <v>0</v>
      </c>
    </row>
    <row r="202" spans="1:12" x14ac:dyDescent="0.4">
      <c r="A202">
        <v>190</v>
      </c>
      <c r="B202">
        <f t="shared" si="18"/>
        <v>17.338677354709418</v>
      </c>
      <c r="C202">
        <f t="shared" si="19"/>
        <v>0.29801931486431882</v>
      </c>
      <c r="D202">
        <f t="shared" si="24"/>
        <v>103.04814036891418</v>
      </c>
      <c r="E202">
        <f t="shared" si="20"/>
        <v>29.806591138188203</v>
      </c>
      <c r="F202">
        <f t="shared" si="25"/>
        <v>11.254056272326894</v>
      </c>
      <c r="G202">
        <f t="shared" si="26"/>
        <v>36.046892324862526</v>
      </c>
      <c r="H202">
        <f t="shared" si="21"/>
        <v>166.79395106814744</v>
      </c>
      <c r="J202">
        <f t="shared" si="22"/>
        <v>1.1254056272326893</v>
      </c>
      <c r="K202">
        <f t="shared" si="23"/>
        <v>3.6046892324862525</v>
      </c>
      <c r="L202">
        <v>0</v>
      </c>
    </row>
    <row r="203" spans="1:12" x14ac:dyDescent="0.4">
      <c r="A203">
        <v>191</v>
      </c>
      <c r="B203">
        <f t="shared" si="18"/>
        <v>17.282565130260522</v>
      </c>
      <c r="C203">
        <f t="shared" si="19"/>
        <v>0.29708433053519867</v>
      </c>
      <c r="D203">
        <f t="shared" si="24"/>
        <v>103.18585065923429</v>
      </c>
      <c r="E203">
        <f t="shared" si="20"/>
        <v>29.765792105252594</v>
      </c>
      <c r="F203">
        <f t="shared" si="25"/>
        <v>11.206924291213092</v>
      </c>
      <c r="G203">
        <f t="shared" si="26"/>
        <v>36.019892384024502</v>
      </c>
      <c r="H203">
        <f t="shared" si="21"/>
        <v>164.94928779799983</v>
      </c>
      <c r="J203">
        <f t="shared" si="22"/>
        <v>1.1206924291213092</v>
      </c>
      <c r="K203">
        <f t="shared" si="23"/>
        <v>3.6019892384024503</v>
      </c>
      <c r="L203">
        <v>0</v>
      </c>
    </row>
    <row r="204" spans="1:12" x14ac:dyDescent="0.4">
      <c r="A204">
        <v>192</v>
      </c>
      <c r="B204">
        <f t="shared" ref="B204:B267" si="27">IF(A204="",NA(),-$B$3/($B$2-1)*A204+$B$3)</f>
        <v>17.226452905811623</v>
      </c>
      <c r="C204">
        <f t="shared" ref="C204:C267" si="28">SIN(RADIANS(B204))</f>
        <v>0.29614906126870427</v>
      </c>
      <c r="D204">
        <f t="shared" si="24"/>
        <v>103.32428383821753</v>
      </c>
      <c r="E204">
        <f t="shared" ref="E204:E267" si="29">IFERROR(90-(B204+D204)/2,IF($B$2-1=A204,E203,NA()))</f>
        <v>29.724631627985424</v>
      </c>
      <c r="F204">
        <f t="shared" si="25"/>
        <v>11.159908270429511</v>
      </c>
      <c r="G204">
        <f t="shared" si="26"/>
        <v>35.993003319636863</v>
      </c>
      <c r="H204">
        <f t="shared" ref="H204:H267" si="30">IF(A204="",NA(),F204-G204/TAN(RADIANS(270-D204)))</f>
        <v>163.13329310254471</v>
      </c>
      <c r="J204">
        <f t="shared" ref="J204:J267" si="31">IF(A204="",NA(),F204/10)</f>
        <v>1.1159908270429511</v>
      </c>
      <c r="K204">
        <f t="shared" ref="K204:K267" si="32">IF(A204="",NA(),G204/10)</f>
        <v>3.5993003319636863</v>
      </c>
      <c r="L204">
        <v>0</v>
      </c>
    </row>
    <row r="205" spans="1:12" x14ac:dyDescent="0.4">
      <c r="A205">
        <v>193</v>
      </c>
      <c r="B205">
        <f t="shared" si="27"/>
        <v>17.170340681362724</v>
      </c>
      <c r="C205">
        <f t="shared" si="28"/>
        <v>0.29521350796186435</v>
      </c>
      <c r="D205">
        <f t="shared" ref="D205:D268" si="33" xml:space="preserve"> IF(A205="", NA(), MEDIAN(90, 180, $F$3*B205^2 - ((90+$F$3*$B$3^2)/$B$3)*B205 + 180))</f>
        <v>103.46343990586382</v>
      </c>
      <c r="E205">
        <f t="shared" si="29"/>
        <v>29.68310970638673</v>
      </c>
      <c r="F205">
        <f t="shared" ref="F205:F268" si="34">IFERROR(F204*(TAN(RADIANS(E204))-TAN(RADIANS(90-B204)))/(TAN(RADIANS(E204))-TAN(RADIANS(90-B205))),IF($B$2-1=A205,0,NA()))</f>
        <v>11.113007647564034</v>
      </c>
      <c r="G205">
        <f t="shared" ref="G205:G268" si="35">IFERROR(TAN(RADIANS(90-B205))*F205,IF($B$2-1=A205,G204,NA()))</f>
        <v>35.966224947551012</v>
      </c>
      <c r="H205">
        <f t="shared" si="30"/>
        <v>161.34536153501108</v>
      </c>
      <c r="J205">
        <f t="shared" si="31"/>
        <v>1.1113007647564035</v>
      </c>
      <c r="K205">
        <f t="shared" si="32"/>
        <v>3.5966224947551013</v>
      </c>
      <c r="L205">
        <v>0</v>
      </c>
    </row>
    <row r="206" spans="1:12" x14ac:dyDescent="0.4">
      <c r="A206">
        <v>194</v>
      </c>
      <c r="B206">
        <f t="shared" si="27"/>
        <v>17.114228456913828</v>
      </c>
      <c r="C206">
        <f t="shared" si="28"/>
        <v>0.29427767151198009</v>
      </c>
      <c r="D206">
        <f t="shared" si="33"/>
        <v>103.60331886217324</v>
      </c>
      <c r="E206">
        <f t="shared" si="29"/>
        <v>29.64122634045647</v>
      </c>
      <c r="F206">
        <f t="shared" si="34"/>
        <v>11.06622186157645</v>
      </c>
      <c r="G206">
        <f t="shared" si="35"/>
        <v>35.939557082505559</v>
      </c>
      <c r="H206">
        <f t="shared" si="30"/>
        <v>159.58490337361434</v>
      </c>
      <c r="J206">
        <f t="shared" si="31"/>
        <v>1.1066221861576451</v>
      </c>
      <c r="K206">
        <f t="shared" si="32"/>
        <v>3.5939557082505558</v>
      </c>
      <c r="L206">
        <v>0</v>
      </c>
    </row>
    <row r="207" spans="1:12" x14ac:dyDescent="0.4">
      <c r="A207">
        <v>195</v>
      </c>
      <c r="B207">
        <f t="shared" si="27"/>
        <v>17.058116232464929</v>
      </c>
      <c r="C207">
        <f t="shared" si="28"/>
        <v>0.29334155281662411</v>
      </c>
      <c r="D207">
        <f t="shared" si="33"/>
        <v>103.74392070714575</v>
      </c>
      <c r="E207">
        <f t="shared" si="29"/>
        <v>29.598981530194663</v>
      </c>
      <c r="F207">
        <f t="shared" si="34"/>
        <v>11.019550352807727</v>
      </c>
      <c r="G207">
        <f t="shared" si="35"/>
        <v>35.912999538156633</v>
      </c>
      <c r="H207">
        <f t="shared" si="30"/>
        <v>157.8513441352832</v>
      </c>
      <c r="J207">
        <f t="shared" si="31"/>
        <v>1.1019550352807728</v>
      </c>
      <c r="K207">
        <f t="shared" si="32"/>
        <v>3.5912999538156631</v>
      </c>
      <c r="L207">
        <v>0</v>
      </c>
    </row>
    <row r="208" spans="1:12" x14ac:dyDescent="0.4">
      <c r="A208">
        <v>196</v>
      </c>
      <c r="B208">
        <f t="shared" si="27"/>
        <v>17.00200400801603</v>
      </c>
      <c r="C208">
        <f t="shared" si="28"/>
        <v>0.29240515277363976</v>
      </c>
      <c r="D208">
        <f t="shared" si="33"/>
        <v>103.88524544078138</v>
      </c>
      <c r="E208">
        <f t="shared" si="29"/>
        <v>29.556375275601297</v>
      </c>
      <c r="F208">
        <f t="shared" si="34"/>
        <v>10.972992562989143</v>
      </c>
      <c r="G208">
        <f t="shared" si="35"/>
        <v>35.886552127107912</v>
      </c>
      <c r="H208">
        <f t="shared" si="30"/>
        <v>156.14412410679012</v>
      </c>
      <c r="J208">
        <f t="shared" si="31"/>
        <v>1.0972992562989143</v>
      </c>
      <c r="K208">
        <f t="shared" si="32"/>
        <v>3.5886552127107914</v>
      </c>
      <c r="L208">
        <v>0</v>
      </c>
    </row>
    <row r="209" spans="1:12" x14ac:dyDescent="0.4">
      <c r="A209">
        <v>197</v>
      </c>
      <c r="B209">
        <f t="shared" si="27"/>
        <v>16.945891783567134</v>
      </c>
      <c r="C209">
        <f t="shared" si="28"/>
        <v>0.29146847228114042</v>
      </c>
      <c r="D209">
        <f t="shared" si="33"/>
        <v>104.02729306308007</v>
      </c>
      <c r="E209">
        <f t="shared" si="29"/>
        <v>29.5134075766764</v>
      </c>
      <c r="F209">
        <f t="shared" si="34"/>
        <v>10.926547935251143</v>
      </c>
      <c r="G209">
        <f t="shared" si="35"/>
        <v>35.860214660940471</v>
      </c>
      <c r="H209">
        <f t="shared" si="30"/>
        <v>154.46269789259239</v>
      </c>
      <c r="J209">
        <f t="shared" si="31"/>
        <v>1.0926547935251143</v>
      </c>
      <c r="K209">
        <f t="shared" si="32"/>
        <v>3.586021466094047</v>
      </c>
      <c r="L209">
        <v>0</v>
      </c>
    </row>
    <row r="210" spans="1:12" x14ac:dyDescent="0.4">
      <c r="A210">
        <v>198</v>
      </c>
      <c r="B210">
        <f t="shared" si="27"/>
        <v>16.889779559118239</v>
      </c>
      <c r="C210">
        <f t="shared" si="28"/>
        <v>0.29053151223750817</v>
      </c>
      <c r="D210">
        <f t="shared" si="33"/>
        <v>104.17006357404186</v>
      </c>
      <c r="E210">
        <f t="shared" si="29"/>
        <v>29.47007843341995</v>
      </c>
      <c r="F210">
        <f t="shared" si="34"/>
        <v>10.880215914131927</v>
      </c>
      <c r="G210">
        <f t="shared" si="35"/>
        <v>35.833986950242291</v>
      </c>
      <c r="H210">
        <f t="shared" si="30"/>
        <v>152.80653397869375</v>
      </c>
      <c r="J210">
        <f t="shared" si="31"/>
        <v>1.0880215914131928</v>
      </c>
      <c r="K210">
        <f t="shared" si="32"/>
        <v>3.5833986950242291</v>
      </c>
      <c r="L210">
        <v>0</v>
      </c>
    </row>
    <row r="211" spans="1:12" x14ac:dyDescent="0.4">
      <c r="A211">
        <v>199</v>
      </c>
      <c r="B211">
        <f t="shared" si="27"/>
        <v>16.833667334669336</v>
      </c>
      <c r="C211">
        <f t="shared" si="28"/>
        <v>0.28959427354139339</v>
      </c>
      <c r="D211">
        <f t="shared" si="33"/>
        <v>104.31355697366678</v>
      </c>
      <c r="E211">
        <f t="shared" si="29"/>
        <v>29.42638784583194</v>
      </c>
      <c r="F211">
        <f t="shared" si="34"/>
        <v>10.833995945585752</v>
      </c>
      <c r="G211">
        <f t="shared" si="35"/>
        <v>35.807868804637529</v>
      </c>
      <c r="H211">
        <f t="shared" si="30"/>
        <v>151.17511431189422</v>
      </c>
      <c r="J211">
        <f t="shared" si="31"/>
        <v>1.0833995945585753</v>
      </c>
      <c r="K211">
        <f t="shared" si="32"/>
        <v>3.5807868804637528</v>
      </c>
      <c r="L211">
        <v>0</v>
      </c>
    </row>
    <row r="212" spans="1:12" x14ac:dyDescent="0.4">
      <c r="A212">
        <v>200</v>
      </c>
      <c r="B212">
        <f t="shared" si="27"/>
        <v>16.77755511022044</v>
      </c>
      <c r="C212">
        <f t="shared" si="28"/>
        <v>0.28865675709171373</v>
      </c>
      <c r="D212">
        <f t="shared" si="33"/>
        <v>104.45777326195477</v>
      </c>
      <c r="E212">
        <f t="shared" si="29"/>
        <v>29.382335813912391</v>
      </c>
      <c r="F212">
        <f t="shared" si="34"/>
        <v>10.787887476991068</v>
      </c>
      <c r="G212">
        <f t="shared" si="35"/>
        <v>35.781860032815509</v>
      </c>
      <c r="H212">
        <f t="shared" si="30"/>
        <v>149.56793389380201</v>
      </c>
      <c r="J212">
        <f t="shared" si="31"/>
        <v>1.0787887476991069</v>
      </c>
      <c r="K212">
        <f t="shared" si="32"/>
        <v>3.5781860032815507</v>
      </c>
      <c r="L212">
        <v>0</v>
      </c>
    </row>
    <row r="213" spans="1:12" x14ac:dyDescent="0.4">
      <c r="A213">
        <v>201</v>
      </c>
      <c r="B213">
        <f t="shared" si="27"/>
        <v>16.721442885771545</v>
      </c>
      <c r="C213">
        <f t="shared" si="28"/>
        <v>0.28771896378765316</v>
      </c>
      <c r="D213">
        <f t="shared" si="33"/>
        <v>104.60271243890585</v>
      </c>
      <c r="E213">
        <f t="shared" si="29"/>
        <v>29.337922337661297</v>
      </c>
      <c r="F213">
        <f t="shared" si="34"/>
        <v>10.741889957158346</v>
      </c>
      <c r="G213">
        <f t="shared" si="35"/>
        <v>35.755960442559477</v>
      </c>
      <c r="H213">
        <f t="shared" si="30"/>
        <v>147.98450038902479</v>
      </c>
      <c r="J213">
        <f t="shared" si="31"/>
        <v>1.0741889957158346</v>
      </c>
      <c r="K213">
        <f t="shared" si="32"/>
        <v>3.5755960442559478</v>
      </c>
      <c r="L213">
        <v>0</v>
      </c>
    </row>
    <row r="214" spans="1:12" x14ac:dyDescent="0.4">
      <c r="A214">
        <v>202</v>
      </c>
      <c r="B214">
        <f t="shared" si="27"/>
        <v>16.665330661322646</v>
      </c>
      <c r="C214">
        <f t="shared" si="28"/>
        <v>0.28678089452866118</v>
      </c>
      <c r="D214">
        <f t="shared" si="33"/>
        <v>104.74837450452006</v>
      </c>
      <c r="E214">
        <f t="shared" si="29"/>
        <v>29.29314741707865</v>
      </c>
      <c r="F214">
        <f t="shared" si="34"/>
        <v>10.696002836337636</v>
      </c>
      <c r="G214">
        <f t="shared" si="35"/>
        <v>35.730169840775041</v>
      </c>
      <c r="H214">
        <f t="shared" si="30"/>
        <v>146.42433374697552</v>
      </c>
      <c r="J214">
        <f t="shared" si="31"/>
        <v>1.0696002836337635</v>
      </c>
      <c r="K214">
        <f t="shared" si="32"/>
        <v>3.5730169840775039</v>
      </c>
      <c r="L214">
        <v>0</v>
      </c>
    </row>
    <row r="215" spans="1:12" x14ac:dyDescent="0.4">
      <c r="A215">
        <v>203</v>
      </c>
      <c r="B215">
        <f t="shared" si="27"/>
        <v>16.609218436873746</v>
      </c>
      <c r="C215">
        <f t="shared" si="28"/>
        <v>0.28584255021445193</v>
      </c>
      <c r="D215">
        <f t="shared" si="33"/>
        <v>104.89475945879735</v>
      </c>
      <c r="E215">
        <f t="shared" si="29"/>
        <v>29.248011052164451</v>
      </c>
      <c r="F215">
        <f t="shared" si="34"/>
        <v>10.650225566226002</v>
      </c>
      <c r="G215">
        <f t="shared" si="35"/>
        <v>35.704488033518423</v>
      </c>
      <c r="H215">
        <f t="shared" si="30"/>
        <v>144.88696583675684</v>
      </c>
      <c r="J215">
        <f t="shared" si="31"/>
        <v>1.0650225566226001</v>
      </c>
      <c r="K215">
        <f t="shared" si="32"/>
        <v>3.5704488033518422</v>
      </c>
      <c r="L215">
        <v>0</v>
      </c>
    </row>
    <row r="216" spans="1:12" x14ac:dyDescent="0.4">
      <c r="A216">
        <v>204</v>
      </c>
      <c r="B216">
        <f t="shared" si="27"/>
        <v>16.553106212424851</v>
      </c>
      <c r="C216">
        <f t="shared" si="28"/>
        <v>0.28490393174500356</v>
      </c>
      <c r="D216">
        <f t="shared" si="33"/>
        <v>105.04186730173774</v>
      </c>
      <c r="E216">
        <f t="shared" si="29"/>
        <v>29.202513242918705</v>
      </c>
      <c r="F216">
        <f t="shared" si="34"/>
        <v>10.60455759997452</v>
      </c>
      <c r="G216">
        <f t="shared" si="35"/>
        <v>35.678914826024339</v>
      </c>
      <c r="H216">
        <f t="shared" si="30"/>
        <v>143.37194009460907</v>
      </c>
      <c r="J216">
        <f t="shared" si="31"/>
        <v>1.060455759997452</v>
      </c>
      <c r="K216">
        <f t="shared" si="32"/>
        <v>3.5678914826024339</v>
      </c>
      <c r="L216">
        <v>0</v>
      </c>
    </row>
    <row r="217" spans="1:12" x14ac:dyDescent="0.4">
      <c r="A217">
        <v>205</v>
      </c>
      <c r="B217">
        <f t="shared" si="27"/>
        <v>16.496993987975952</v>
      </c>
      <c r="C217">
        <f t="shared" si="28"/>
        <v>0.28396504002055695</v>
      </c>
      <c r="D217">
        <f t="shared" si="33"/>
        <v>105.18969803334123</v>
      </c>
      <c r="E217">
        <f t="shared" si="29"/>
        <v>29.156653989341407</v>
      </c>
      <c r="F217">
        <f t="shared" si="34"/>
        <v>10.558998392195257</v>
      </c>
      <c r="G217">
        <f t="shared" si="35"/>
        <v>35.653450022733757</v>
      </c>
      <c r="H217">
        <f t="shared" si="30"/>
        <v>141.87881118342963</v>
      </c>
      <c r="J217">
        <f t="shared" si="31"/>
        <v>1.0558998392195256</v>
      </c>
      <c r="K217">
        <f t="shared" si="32"/>
        <v>3.5653450022733759</v>
      </c>
      <c r="L217">
        <v>0</v>
      </c>
    </row>
    <row r="218" spans="1:12" x14ac:dyDescent="0.4">
      <c r="A218">
        <v>206</v>
      </c>
      <c r="B218">
        <f t="shared" si="27"/>
        <v>16.440881763527052</v>
      </c>
      <c r="C218">
        <f t="shared" si="28"/>
        <v>0.28302587594161516</v>
      </c>
      <c r="D218">
        <f t="shared" si="33"/>
        <v>105.33825165360781</v>
      </c>
      <c r="E218">
        <f t="shared" si="29"/>
        <v>29.110433291432571</v>
      </c>
      <c r="F218">
        <f t="shared" si="34"/>
        <v>10.513547398967861</v>
      </c>
      <c r="G218">
        <f t="shared" si="35"/>
        <v>35.628093427321282</v>
      </c>
      <c r="H218">
        <f t="shared" si="30"/>
        <v>140.40714466390014</v>
      </c>
      <c r="J218">
        <f t="shared" si="31"/>
        <v>1.051354739896786</v>
      </c>
      <c r="K218">
        <f t="shared" si="32"/>
        <v>3.5628093427321281</v>
      </c>
      <c r="L218">
        <v>0</v>
      </c>
    </row>
    <row r="219" spans="1:12" x14ac:dyDescent="0.4">
      <c r="A219">
        <v>207</v>
      </c>
      <c r="B219">
        <f t="shared" si="27"/>
        <v>16.384769539078157</v>
      </c>
      <c r="C219">
        <f t="shared" si="28"/>
        <v>0.28208644040894243</v>
      </c>
      <c r="D219">
        <f t="shared" si="33"/>
        <v>105.4875281625375</v>
      </c>
      <c r="E219">
        <f t="shared" si="29"/>
        <v>29.063851149192175</v>
      </c>
      <c r="F219">
        <f t="shared" si="34"/>
        <v>10.468204077846016</v>
      </c>
      <c r="G219">
        <f t="shared" si="35"/>
        <v>35.602844842722334</v>
      </c>
      <c r="H219">
        <f t="shared" si="30"/>
        <v>138.9565166767625</v>
      </c>
      <c r="J219">
        <f t="shared" si="31"/>
        <v>1.0468204077846015</v>
      </c>
      <c r="K219">
        <f t="shared" si="32"/>
        <v>3.5602844842722332</v>
      </c>
      <c r="L219">
        <v>0</v>
      </c>
    </row>
    <row r="220" spans="1:12" x14ac:dyDescent="0.4">
      <c r="A220">
        <v>208</v>
      </c>
      <c r="B220">
        <f t="shared" si="27"/>
        <v>16.328657314629258</v>
      </c>
      <c r="C220">
        <f t="shared" si="28"/>
        <v>0.28114673432356341</v>
      </c>
      <c r="D220">
        <f t="shared" si="33"/>
        <v>105.63752756013028</v>
      </c>
      <c r="E220">
        <f t="shared" si="29"/>
        <v>29.016907562620233</v>
      </c>
      <c r="F220">
        <f t="shared" si="34"/>
        <v>10.422967887863569</v>
      </c>
      <c r="G220">
        <f t="shared" si="35"/>
        <v>35.577704071160063</v>
      </c>
      <c r="H220">
        <f t="shared" si="30"/>
        <v>137.52651363582299</v>
      </c>
      <c r="J220">
        <f t="shared" si="31"/>
        <v>1.042296788786357</v>
      </c>
      <c r="K220">
        <f t="shared" si="32"/>
        <v>3.5577704071160063</v>
      </c>
      <c r="L220">
        <v>0</v>
      </c>
    </row>
    <row r="221" spans="1:12" x14ac:dyDescent="0.4">
      <c r="A221">
        <v>209</v>
      </c>
      <c r="B221">
        <f t="shared" si="27"/>
        <v>16.272545090180358</v>
      </c>
      <c r="C221">
        <f t="shared" si="28"/>
        <v>0.28020675858676219</v>
      </c>
      <c r="D221">
        <f t="shared" si="33"/>
        <v>105.78824984638617</v>
      </c>
      <c r="E221">
        <f t="shared" si="29"/>
        <v>28.969602531716738</v>
      </c>
      <c r="F221">
        <f t="shared" si="34"/>
        <v>10.377838289540495</v>
      </c>
      <c r="G221">
        <f t="shared" si="35"/>
        <v>35.552670914171962</v>
      </c>
      <c r="H221">
        <f t="shared" si="30"/>
        <v>136.11673193126853</v>
      </c>
      <c r="J221">
        <f t="shared" si="31"/>
        <v>1.0377838289540495</v>
      </c>
      <c r="K221">
        <f t="shared" si="32"/>
        <v>3.5552670914171962</v>
      </c>
      <c r="L221">
        <v>0</v>
      </c>
    </row>
    <row r="222" spans="1:12" x14ac:dyDescent="0.4">
      <c r="A222">
        <v>210</v>
      </c>
      <c r="B222">
        <f t="shared" si="27"/>
        <v>16.216432865731463</v>
      </c>
      <c r="C222">
        <f t="shared" si="28"/>
        <v>0.27926651410008152</v>
      </c>
      <c r="D222">
        <f t="shared" si="33"/>
        <v>105.93969502130513</v>
      </c>
      <c r="E222">
        <f t="shared" si="29"/>
        <v>28.921936056481705</v>
      </c>
      <c r="F222">
        <f t="shared" si="34"/>
        <v>10.332814744888669</v>
      </c>
      <c r="G222">
        <f t="shared" si="35"/>
        <v>35.527745172636322</v>
      </c>
      <c r="H222">
        <f t="shared" si="30"/>
        <v>134.72677764290322</v>
      </c>
      <c r="J222">
        <f t="shared" si="31"/>
        <v>1.033281474488867</v>
      </c>
      <c r="K222">
        <f t="shared" si="32"/>
        <v>3.5527745172636322</v>
      </c>
      <c r="L222">
        <v>0</v>
      </c>
    </row>
    <row r="223" spans="1:12" x14ac:dyDescent="0.4">
      <c r="A223">
        <v>211</v>
      </c>
      <c r="B223">
        <f t="shared" si="27"/>
        <v>16.160320641282567</v>
      </c>
      <c r="C223">
        <f t="shared" si="28"/>
        <v>0.27832600176532185</v>
      </c>
      <c r="D223">
        <f t="shared" si="33"/>
        <v>106.09186308488719</v>
      </c>
      <c r="E223">
        <f t="shared" si="29"/>
        <v>28.873908136915119</v>
      </c>
      <c r="F223">
        <f t="shared" si="34"/>
        <v>10.287896717417338</v>
      </c>
      <c r="G223">
        <f t="shared" si="35"/>
        <v>35.502926646798336</v>
      </c>
      <c r="H223">
        <f t="shared" si="30"/>
        <v>133.35626626292455</v>
      </c>
      <c r="J223">
        <f t="shared" si="31"/>
        <v>1.0287896717417337</v>
      </c>
      <c r="K223">
        <f t="shared" si="32"/>
        <v>3.5502926646798336</v>
      </c>
      <c r="L223">
        <v>0</v>
      </c>
    </row>
    <row r="224" spans="1:12" x14ac:dyDescent="0.4">
      <c r="A224">
        <v>212</v>
      </c>
      <c r="B224">
        <f t="shared" si="27"/>
        <v>16.104208416833668</v>
      </c>
      <c r="C224">
        <f t="shared" si="28"/>
        <v>0.27738522248454045</v>
      </c>
      <c r="D224">
        <f t="shared" si="33"/>
        <v>106.24475403713237</v>
      </c>
      <c r="E224">
        <f t="shared" si="29"/>
        <v>28.825518773016981</v>
      </c>
      <c r="F224">
        <f t="shared" si="34"/>
        <v>10.243083672138425</v>
      </c>
      <c r="G224">
        <f t="shared" si="35"/>
        <v>35.478215136296043</v>
      </c>
      <c r="H224">
        <f t="shared" si="30"/>
        <v>132.00482242788806</v>
      </c>
      <c r="J224">
        <f t="shared" si="31"/>
        <v>1.0243083672138424</v>
      </c>
      <c r="K224">
        <f t="shared" si="32"/>
        <v>3.5478215136296045</v>
      </c>
      <c r="L224">
        <v>0</v>
      </c>
    </row>
    <row r="225" spans="1:12" x14ac:dyDescent="0.4">
      <c r="A225">
        <v>213</v>
      </c>
      <c r="B225">
        <f t="shared" si="27"/>
        <v>16.048096192384769</v>
      </c>
      <c r="C225">
        <f t="shared" si="28"/>
        <v>0.27644417716005099</v>
      </c>
      <c r="D225">
        <f t="shared" si="33"/>
        <v>106.39836787804066</v>
      </c>
      <c r="E225">
        <f t="shared" si="29"/>
        <v>28.776767964787282</v>
      </c>
      <c r="F225">
        <f t="shared" si="34"/>
        <v>10.19837507557161</v>
      </c>
      <c r="G225">
        <f t="shared" si="35"/>
        <v>35.453610440185898</v>
      </c>
      <c r="H225">
        <f t="shared" si="30"/>
        <v>130.67207965950115</v>
      </c>
      <c r="J225">
        <f t="shared" si="31"/>
        <v>1.0198375075571611</v>
      </c>
      <c r="K225">
        <f t="shared" si="32"/>
        <v>3.5453610440185899</v>
      </c>
      <c r="L225">
        <v>0</v>
      </c>
    </row>
    <row r="226" spans="1:12" x14ac:dyDescent="0.4">
      <c r="A226">
        <v>214</v>
      </c>
      <c r="B226">
        <f t="shared" si="27"/>
        <v>15.991983967935871</v>
      </c>
      <c r="C226">
        <f t="shared" si="28"/>
        <v>0.27550286669442187</v>
      </c>
      <c r="D226">
        <f t="shared" si="33"/>
        <v>106.55270460761201</v>
      </c>
      <c r="E226">
        <f t="shared" si="29"/>
        <v>28.72765571222606</v>
      </c>
      <c r="F226">
        <f t="shared" si="34"/>
        <v>10.153770395749129</v>
      </c>
      <c r="G226">
        <f t="shared" si="35"/>
        <v>35.429112356968197</v>
      </c>
      <c r="H226">
        <f t="shared" si="30"/>
        <v>129.35768011392798</v>
      </c>
      <c r="J226">
        <f t="shared" si="31"/>
        <v>1.0153770395749129</v>
      </c>
      <c r="K226">
        <f t="shared" si="32"/>
        <v>3.5429112356968195</v>
      </c>
      <c r="L226">
        <v>0</v>
      </c>
    </row>
    <row r="227" spans="1:12" x14ac:dyDescent="0.4">
      <c r="A227">
        <v>215</v>
      </c>
      <c r="B227">
        <f t="shared" si="27"/>
        <v>15.935871743486974</v>
      </c>
      <c r="C227">
        <f t="shared" si="28"/>
        <v>0.27456129199047613</v>
      </c>
      <c r="D227">
        <f t="shared" si="33"/>
        <v>106.70776422584649</v>
      </c>
      <c r="E227">
        <f t="shared" si="29"/>
        <v>28.67818201533327</v>
      </c>
      <c r="F227">
        <f t="shared" si="34"/>
        <v>10.109269102220537</v>
      </c>
      <c r="G227">
        <f t="shared" si="35"/>
        <v>35.404720684612258</v>
      </c>
      <c r="H227">
        <f t="shared" si="30"/>
        <v>128.06127433928003</v>
      </c>
      <c r="J227">
        <f t="shared" si="31"/>
        <v>1.0109269102220537</v>
      </c>
      <c r="K227">
        <f t="shared" si="32"/>
        <v>3.5404720684612259</v>
      </c>
      <c r="L227">
        <v>0</v>
      </c>
    </row>
    <row r="228" spans="1:12" x14ac:dyDescent="0.4">
      <c r="A228">
        <v>216</v>
      </c>
      <c r="B228">
        <f t="shared" si="27"/>
        <v>15.879759519038076</v>
      </c>
      <c r="C228">
        <f t="shared" si="28"/>
        <v>0.27361945395128995</v>
      </c>
      <c r="D228">
        <f t="shared" si="33"/>
        <v>106.86354673274404</v>
      </c>
      <c r="E228">
        <f t="shared" si="29"/>
        <v>28.628346874108942</v>
      </c>
      <c r="F228">
        <f t="shared" si="34"/>
        <v>10.064870666057042</v>
      </c>
      <c r="G228">
        <f t="shared" si="35"/>
        <v>35.380435220581255</v>
      </c>
      <c r="H228">
        <f t="shared" si="30"/>
        <v>126.78252104099276</v>
      </c>
      <c r="J228">
        <f t="shared" si="31"/>
        <v>1.0064870666057042</v>
      </c>
      <c r="K228">
        <f t="shared" si="32"/>
        <v>3.5380435220581257</v>
      </c>
      <c r="L228">
        <v>0</v>
      </c>
    </row>
    <row r="229" spans="1:12" x14ac:dyDescent="0.4">
      <c r="A229">
        <v>217</v>
      </c>
      <c r="B229">
        <f t="shared" si="27"/>
        <v>15.823647294589179</v>
      </c>
      <c r="C229">
        <f t="shared" si="28"/>
        <v>0.27267735348019223</v>
      </c>
      <c r="D229">
        <f t="shared" si="33"/>
        <v>107.02005212830471</v>
      </c>
      <c r="E229">
        <f t="shared" si="29"/>
        <v>28.578150288553054</v>
      </c>
      <c r="F229">
        <f t="shared" si="34"/>
        <v>10.020574559855765</v>
      </c>
      <c r="G229">
        <f t="shared" si="35"/>
        <v>35.356255761856865</v>
      </c>
      <c r="H229">
        <f t="shared" si="30"/>
        <v>125.5210868547933</v>
      </c>
      <c r="J229">
        <f t="shared" si="31"/>
        <v>1.0020574559855766</v>
      </c>
      <c r="K229">
        <f t="shared" si="32"/>
        <v>3.5356255761856863</v>
      </c>
      <c r="L229">
        <v>0</v>
      </c>
    </row>
    <row r="230" spans="1:12" x14ac:dyDescent="0.4">
      <c r="A230">
        <v>218</v>
      </c>
      <c r="B230">
        <f t="shared" si="27"/>
        <v>15.76753507014028</v>
      </c>
      <c r="C230">
        <f t="shared" si="28"/>
        <v>0.27173499148076358</v>
      </c>
      <c r="D230">
        <f t="shared" si="33"/>
        <v>107.17728041252846</v>
      </c>
      <c r="E230">
        <f t="shared" si="29"/>
        <v>28.527592258665628</v>
      </c>
      <c r="F230">
        <f t="shared" si="34"/>
        <v>9.9763802577438021</v>
      </c>
      <c r="G230">
        <f t="shared" si="35"/>
        <v>35.332182104963742</v>
      </c>
      <c r="H230">
        <f t="shared" si="30"/>
        <v>124.27664612698553</v>
      </c>
      <c r="J230">
        <f t="shared" si="31"/>
        <v>0.99763802577438021</v>
      </c>
      <c r="K230">
        <f t="shared" si="32"/>
        <v>3.5332182104963743</v>
      </c>
      <c r="L230">
        <v>0</v>
      </c>
    </row>
    <row r="231" spans="1:12" x14ac:dyDescent="0.4">
      <c r="A231">
        <v>219</v>
      </c>
      <c r="B231">
        <f t="shared" si="27"/>
        <v>15.711422845691382</v>
      </c>
      <c r="C231">
        <f t="shared" si="28"/>
        <v>0.2707923688568355</v>
      </c>
      <c r="D231">
        <f t="shared" si="33"/>
        <v>107.33523158541533</v>
      </c>
      <c r="E231">
        <f t="shared" si="29"/>
        <v>28.476672784446642</v>
      </c>
      <c r="F231">
        <f t="shared" si="34"/>
        <v>9.9322872353819811</v>
      </c>
      <c r="G231">
        <f t="shared" si="35"/>
        <v>35.308214045993594</v>
      </c>
      <c r="H231">
        <f t="shared" si="30"/>
        <v>123.04888070177823</v>
      </c>
      <c r="J231">
        <f t="shared" si="31"/>
        <v>0.99322872353819813</v>
      </c>
      <c r="K231">
        <f t="shared" si="32"/>
        <v>3.5308214045993593</v>
      </c>
      <c r="L231">
        <v>0</v>
      </c>
    </row>
    <row r="232" spans="1:12" x14ac:dyDescent="0.4">
      <c r="A232">
        <v>220</v>
      </c>
      <c r="B232">
        <f t="shared" si="27"/>
        <v>15.655310621242485</v>
      </c>
      <c r="C232">
        <f t="shared" si="28"/>
        <v>0.2698494865124893</v>
      </c>
      <c r="D232">
        <f t="shared" si="33"/>
        <v>107.49390564696526</v>
      </c>
      <c r="E232">
        <f t="shared" si="29"/>
        <v>28.425391865896131</v>
      </c>
      <c r="F232">
        <f t="shared" si="34"/>
        <v>9.8882949699685483</v>
      </c>
      <c r="G232">
        <f t="shared" si="35"/>
        <v>35.284351380629161</v>
      </c>
      <c r="H232">
        <f t="shared" si="30"/>
        <v>121.83747971540546</v>
      </c>
      <c r="J232">
        <f t="shared" si="31"/>
        <v>0.98882949699685485</v>
      </c>
      <c r="K232">
        <f t="shared" si="32"/>
        <v>3.5284351380629162</v>
      </c>
      <c r="L232">
        <v>0</v>
      </c>
    </row>
    <row r="233" spans="1:12" x14ac:dyDescent="0.4">
      <c r="A233">
        <v>221</v>
      </c>
      <c r="B233">
        <f t="shared" si="27"/>
        <v>15.599198396793588</v>
      </c>
      <c r="C233">
        <f t="shared" si="28"/>
        <v>0.26890634535205549</v>
      </c>
      <c r="D233">
        <f t="shared" si="33"/>
        <v>107.65330259717832</v>
      </c>
      <c r="E233">
        <f t="shared" si="29"/>
        <v>28.373749503014047</v>
      </c>
      <c r="F233">
        <f t="shared" si="34"/>
        <v>9.8444029402425937</v>
      </c>
      <c r="G233">
        <f t="shared" si="35"/>
        <v>35.260593904167877</v>
      </c>
      <c r="H233">
        <f t="shared" si="30"/>
        <v>120.64213939678756</v>
      </c>
      <c r="J233">
        <f t="shared" si="31"/>
        <v>0.98444029402425937</v>
      </c>
      <c r="K233">
        <f t="shared" si="32"/>
        <v>3.5260593904167878</v>
      </c>
      <c r="L233">
        <v>0</v>
      </c>
    </row>
    <row r="234" spans="1:12" x14ac:dyDescent="0.4">
      <c r="A234">
        <v>222</v>
      </c>
      <c r="B234">
        <f t="shared" si="27"/>
        <v>15.543086172344688</v>
      </c>
      <c r="C234">
        <f t="shared" si="28"/>
        <v>0.2679629462801128</v>
      </c>
      <c r="D234">
        <f t="shared" si="33"/>
        <v>107.81342243605448</v>
      </c>
      <c r="E234">
        <f t="shared" si="29"/>
        <v>28.321745695800416</v>
      </c>
      <c r="F234">
        <f t="shared" si="34"/>
        <v>9.8006106264872379</v>
      </c>
      <c r="G234">
        <f t="shared" si="35"/>
        <v>35.236941411545295</v>
      </c>
      <c r="H234">
        <f t="shared" si="30"/>
        <v>119.46256287450116</v>
      </c>
      <c r="J234">
        <f t="shared" si="31"/>
        <v>0.98006106264872384</v>
      </c>
      <c r="K234">
        <f t="shared" si="32"/>
        <v>3.5236941411545297</v>
      </c>
      <c r="L234">
        <v>0</v>
      </c>
    </row>
    <row r="235" spans="1:12" x14ac:dyDescent="0.4">
      <c r="A235">
        <v>223</v>
      </c>
      <c r="B235">
        <f t="shared" si="27"/>
        <v>15.486973947895791</v>
      </c>
      <c r="C235">
        <f t="shared" si="28"/>
        <v>0.26701929020148729</v>
      </c>
      <c r="D235">
        <f t="shared" si="33"/>
        <v>107.97426516359373</v>
      </c>
      <c r="E235">
        <f t="shared" si="29"/>
        <v>28.269380444255241</v>
      </c>
      <c r="F235">
        <f t="shared" si="34"/>
        <v>9.7569175105327162</v>
      </c>
      <c r="G235">
        <f t="shared" si="35"/>
        <v>35.21339369735832</v>
      </c>
      <c r="H235">
        <f t="shared" si="30"/>
        <v>118.29845998982938</v>
      </c>
      <c r="J235">
        <f t="shared" si="31"/>
        <v>0.97569175105327166</v>
      </c>
      <c r="K235">
        <f t="shared" si="32"/>
        <v>3.5213393697358319</v>
      </c>
      <c r="L235">
        <v>0</v>
      </c>
    </row>
    <row r="236" spans="1:12" x14ac:dyDescent="0.4">
      <c r="A236">
        <v>224</v>
      </c>
      <c r="B236">
        <f t="shared" si="27"/>
        <v>15.430861723446894</v>
      </c>
      <c r="C236">
        <f t="shared" si="28"/>
        <v>0.26607537802125164</v>
      </c>
      <c r="D236">
        <f t="shared" si="33"/>
        <v>108.13583077979607</v>
      </c>
      <c r="E236">
        <f t="shared" si="29"/>
        <v>28.216653748378519</v>
      </c>
      <c r="F236">
        <f t="shared" si="34"/>
        <v>9.7133230757591846</v>
      </c>
      <c r="G236">
        <f t="shared" si="35"/>
        <v>35.189950555888132</v>
      </c>
      <c r="H236">
        <f t="shared" si="30"/>
        <v>117.14954711567131</v>
      </c>
      <c r="J236">
        <f t="shared" si="31"/>
        <v>0.97133230757591849</v>
      </c>
      <c r="K236">
        <f t="shared" si="32"/>
        <v>3.518995055588813</v>
      </c>
      <c r="L236">
        <v>0</v>
      </c>
    </row>
    <row r="237" spans="1:12" x14ac:dyDescent="0.4">
      <c r="A237">
        <v>225</v>
      </c>
      <c r="B237">
        <f t="shared" si="27"/>
        <v>15.374749498997996</v>
      </c>
      <c r="C237">
        <f t="shared" si="28"/>
        <v>0.265131210644724</v>
      </c>
      <c r="D237">
        <f t="shared" si="33"/>
        <v>108.29811928466151</v>
      </c>
      <c r="E237">
        <f t="shared" si="29"/>
        <v>28.163565608170245</v>
      </c>
      <c r="F237">
        <f t="shared" si="34"/>
        <v>9.6698268070994438</v>
      </c>
      <c r="G237">
        <f t="shared" si="35"/>
        <v>35.166611781122981</v>
      </c>
      <c r="H237">
        <f t="shared" si="30"/>
        <v>116.0155469811103</v>
      </c>
      <c r="J237">
        <f t="shared" si="31"/>
        <v>0.96698268070994442</v>
      </c>
      <c r="K237">
        <f t="shared" si="32"/>
        <v>3.5166611781122983</v>
      </c>
      <c r="L237">
        <v>0</v>
      </c>
    </row>
    <row r="238" spans="1:12" x14ac:dyDescent="0.4">
      <c r="A238">
        <v>226</v>
      </c>
      <c r="B238">
        <f t="shared" si="27"/>
        <v>15.318637274549099</v>
      </c>
      <c r="C238">
        <f t="shared" si="28"/>
        <v>0.26418678897746739</v>
      </c>
      <c r="D238">
        <f t="shared" si="33"/>
        <v>108.46113067819005</v>
      </c>
      <c r="E238">
        <f t="shared" si="29"/>
        <v>28.110116023630425</v>
      </c>
      <c r="F238">
        <f t="shared" si="34"/>
        <v>9.6264281910413718</v>
      </c>
      <c r="G238">
        <f t="shared" si="35"/>
        <v>35.143377166780624</v>
      </c>
      <c r="H238">
        <f t="shared" si="30"/>
        <v>114.8961885014299</v>
      </c>
      <c r="J238">
        <f t="shared" si="31"/>
        <v>0.96264281910413718</v>
      </c>
      <c r="K238">
        <f t="shared" si="32"/>
        <v>3.5143377166780625</v>
      </c>
      <c r="L238">
        <v>0</v>
      </c>
    </row>
    <row r="239" spans="1:12" x14ac:dyDescent="0.4">
      <c r="A239">
        <v>227</v>
      </c>
      <c r="B239">
        <f t="shared" si="27"/>
        <v>15.2625250501002</v>
      </c>
      <c r="C239">
        <f t="shared" si="28"/>
        <v>0.26324211392528868</v>
      </c>
      <c r="D239">
        <f t="shared" si="33"/>
        <v>108.62486496038167</v>
      </c>
      <c r="E239">
        <f t="shared" si="29"/>
        <v>28.056304994759067</v>
      </c>
      <c r="F239">
        <f t="shared" si="34"/>
        <v>9.5831267156302236</v>
      </c>
      <c r="G239">
        <f t="shared" si="35"/>
        <v>35.120246506330652</v>
      </c>
      <c r="H239">
        <f t="shared" si="30"/>
        <v>113.79120661339425</v>
      </c>
      <c r="J239">
        <f t="shared" si="31"/>
        <v>0.95831267156302236</v>
      </c>
      <c r="K239">
        <f t="shared" si="32"/>
        <v>3.512024650633065</v>
      </c>
      <c r="L239">
        <v>0</v>
      </c>
    </row>
    <row r="240" spans="1:12" x14ac:dyDescent="0.4">
      <c r="A240">
        <v>228</v>
      </c>
      <c r="B240">
        <f t="shared" si="27"/>
        <v>15.206412825651302</v>
      </c>
      <c r="C240">
        <f t="shared" si="28"/>
        <v>0.26229718639423771</v>
      </c>
      <c r="D240">
        <f t="shared" si="33"/>
        <v>108.78932213123642</v>
      </c>
      <c r="E240">
        <f t="shared" si="29"/>
        <v>28.002132521556142</v>
      </c>
      <c r="F240">
        <f t="shared" si="34"/>
        <v>9.5399218704707902</v>
      </c>
      <c r="G240">
        <f t="shared" si="35"/>
        <v>35.09721959301649</v>
      </c>
      <c r="H240">
        <f t="shared" si="30"/>
        <v>112.70034211560102</v>
      </c>
      <c r="J240">
        <f t="shared" si="31"/>
        <v>0.953992187047079</v>
      </c>
      <c r="K240">
        <f t="shared" si="32"/>
        <v>3.5097219593016491</v>
      </c>
      <c r="L240">
        <v>0</v>
      </c>
    </row>
    <row r="241" spans="1:12" x14ac:dyDescent="0.4">
      <c r="A241">
        <v>229</v>
      </c>
      <c r="B241">
        <f t="shared" si="27"/>
        <v>15.150300601202405</v>
      </c>
      <c r="C241">
        <f t="shared" si="28"/>
        <v>0.26135200729060665</v>
      </c>
      <c r="D241">
        <f t="shared" si="33"/>
        <v>108.95450219075424</v>
      </c>
      <c r="E241">
        <f t="shared" si="29"/>
        <v>27.947598604021678</v>
      </c>
      <c r="F241">
        <f t="shared" si="34"/>
        <v>9.496813146729238</v>
      </c>
      <c r="G241">
        <f t="shared" si="35"/>
        <v>35.074296219877212</v>
      </c>
      <c r="H241">
        <f t="shared" si="30"/>
        <v>111.62334151373373</v>
      </c>
      <c r="J241">
        <f t="shared" si="31"/>
        <v>0.94968131467292383</v>
      </c>
      <c r="K241">
        <f t="shared" si="32"/>
        <v>3.507429621987721</v>
      </c>
      <c r="L241">
        <v>0</v>
      </c>
    </row>
    <row r="242" spans="1:12" x14ac:dyDescent="0.4">
      <c r="A242">
        <v>230</v>
      </c>
      <c r="B242">
        <f t="shared" si="27"/>
        <v>15.094188376753507</v>
      </c>
      <c r="C242">
        <f t="shared" si="28"/>
        <v>0.26040657752092883</v>
      </c>
      <c r="D242">
        <f t="shared" si="33"/>
        <v>109.12040513893518</v>
      </c>
      <c r="E242">
        <f t="shared" si="29"/>
        <v>27.892703242155655</v>
      </c>
      <c r="F242">
        <f t="shared" si="34"/>
        <v>9.45380003713497</v>
      </c>
      <c r="G242">
        <f t="shared" si="35"/>
        <v>35.051476179769146</v>
      </c>
      <c r="H242">
        <f t="shared" si="30"/>
        <v>110.55995687053901</v>
      </c>
      <c r="J242">
        <f t="shared" si="31"/>
        <v>0.94538000371349695</v>
      </c>
      <c r="K242">
        <f t="shared" si="32"/>
        <v>3.5051476179769145</v>
      </c>
      <c r="L242">
        <v>0</v>
      </c>
    </row>
    <row r="243" spans="1:12" x14ac:dyDescent="0.4">
      <c r="A243">
        <v>231</v>
      </c>
      <c r="B243">
        <f t="shared" si="27"/>
        <v>15.038076152304608</v>
      </c>
      <c r="C243">
        <f t="shared" si="28"/>
        <v>0.25946089799197786</v>
      </c>
      <c r="D243">
        <f t="shared" si="33"/>
        <v>109.2870309757792</v>
      </c>
      <c r="E243">
        <f t="shared" si="29"/>
        <v>27.837446435958093</v>
      </c>
      <c r="F243">
        <f t="shared" si="34"/>
        <v>9.4108820359821568</v>
      </c>
      <c r="G243">
        <f t="shared" si="35"/>
        <v>35.028759265387251</v>
      </c>
      <c r="H243">
        <f t="shared" si="30"/>
        <v>109.50994566036908</v>
      </c>
      <c r="J243">
        <f t="shared" si="31"/>
        <v>0.94108820359821566</v>
      </c>
      <c r="K243">
        <f t="shared" si="32"/>
        <v>3.5028759265387253</v>
      </c>
      <c r="L243">
        <v>0</v>
      </c>
    </row>
    <row r="244" spans="1:12" x14ac:dyDescent="0.4">
      <c r="A244">
        <v>232</v>
      </c>
      <c r="B244">
        <f t="shared" si="27"/>
        <v>14.981963927855711</v>
      </c>
      <c r="C244">
        <f t="shared" si="28"/>
        <v>0.25851496961076725</v>
      </c>
      <c r="D244">
        <f t="shared" si="33"/>
        <v>109.45437970128634</v>
      </c>
      <c r="E244">
        <f t="shared" si="29"/>
        <v>27.781828185428971</v>
      </c>
      <c r="F244">
        <f t="shared" si="34"/>
        <v>9.3680586391311582</v>
      </c>
      <c r="G244">
        <f t="shared" si="35"/>
        <v>35.006145269286186</v>
      </c>
      <c r="H244">
        <f t="shared" si="30"/>
        <v>108.47307062812585</v>
      </c>
      <c r="J244">
        <f t="shared" si="31"/>
        <v>0.93680586391311582</v>
      </c>
      <c r="K244">
        <f t="shared" si="32"/>
        <v>3.5006145269286186</v>
      </c>
      <c r="L244">
        <v>0</v>
      </c>
    </row>
    <row r="245" spans="1:12" x14ac:dyDescent="0.4">
      <c r="A245">
        <v>233</v>
      </c>
      <c r="B245">
        <f t="shared" si="27"/>
        <v>14.925851703406813</v>
      </c>
      <c r="C245">
        <f t="shared" si="28"/>
        <v>0.25756879328454885</v>
      </c>
      <c r="D245">
        <f t="shared" si="33"/>
        <v>109.62245131545656</v>
      </c>
      <c r="E245">
        <f t="shared" si="29"/>
        <v>27.72584849056831</v>
      </c>
      <c r="F245">
        <f t="shared" si="34"/>
        <v>9.3253293440097789</v>
      </c>
      <c r="G245">
        <f t="shared" si="35"/>
        <v>34.983633983901314</v>
      </c>
      <c r="H245">
        <f t="shared" si="30"/>
        <v>107.44909965246147</v>
      </c>
      <c r="J245">
        <f t="shared" si="31"/>
        <v>0.93253293440097784</v>
      </c>
      <c r="K245">
        <f t="shared" si="32"/>
        <v>3.4983633983901314</v>
      </c>
      <c r="L245">
        <v>0</v>
      </c>
    </row>
    <row r="246" spans="1:12" x14ac:dyDescent="0.4">
      <c r="A246">
        <v>234</v>
      </c>
      <c r="B246">
        <f t="shared" si="27"/>
        <v>14.869739478957916</v>
      </c>
      <c r="C246">
        <f t="shared" si="28"/>
        <v>0.2566223699208125</v>
      </c>
      <c r="D246">
        <f t="shared" si="33"/>
        <v>109.79124581828988</v>
      </c>
      <c r="E246">
        <f t="shared" si="29"/>
        <v>27.669507351376105</v>
      </c>
      <c r="F246">
        <f t="shared" si="34"/>
        <v>9.2826936496143322</v>
      </c>
      <c r="G246">
        <f t="shared" si="35"/>
        <v>34.961225201569349</v>
      </c>
      <c r="H246">
        <f t="shared" si="30"/>
        <v>106.43780561308398</v>
      </c>
      <c r="J246">
        <f t="shared" si="31"/>
        <v>0.9282693649614332</v>
      </c>
      <c r="K246">
        <f t="shared" si="32"/>
        <v>3.496122520156935</v>
      </c>
      <c r="L246">
        <v>0</v>
      </c>
    </row>
    <row r="247" spans="1:12" x14ac:dyDescent="0.4">
      <c r="A247">
        <v>235</v>
      </c>
      <c r="B247">
        <f t="shared" si="27"/>
        <v>14.813627254509019</v>
      </c>
      <c r="C247">
        <f t="shared" si="28"/>
        <v>0.25567570042728499</v>
      </c>
      <c r="D247">
        <f t="shared" si="33"/>
        <v>109.96076320978629</v>
      </c>
      <c r="E247">
        <f t="shared" si="29"/>
        <v>27.612804767852346</v>
      </c>
      <c r="F247">
        <f t="shared" si="34"/>
        <v>9.2401510565105625</v>
      </c>
      <c r="G247">
        <f t="shared" si="35"/>
        <v>34.938918714548848</v>
      </c>
      <c r="H247">
        <f t="shared" si="30"/>
        <v>105.43896626203181</v>
      </c>
      <c r="J247">
        <f t="shared" si="31"/>
        <v>0.92401510565105627</v>
      </c>
      <c r="K247">
        <f t="shared" si="32"/>
        <v>3.4938918714548848</v>
      </c>
      <c r="L247">
        <v>0</v>
      </c>
    </row>
    <row r="248" spans="1:12" x14ac:dyDescent="0.4">
      <c r="A248">
        <v>236</v>
      </c>
      <c r="B248">
        <f t="shared" si="27"/>
        <v>14.757515030060119</v>
      </c>
      <c r="C248">
        <f t="shared" si="28"/>
        <v>0.25472878571192903</v>
      </c>
      <c r="D248">
        <f t="shared" si="33"/>
        <v>110.13100348994583</v>
      </c>
      <c r="E248">
        <f t="shared" si="29"/>
        <v>27.555740739997027</v>
      </c>
      <c r="F248">
        <f t="shared" si="34"/>
        <v>9.1977010668343855</v>
      </c>
      <c r="G248">
        <f t="shared" si="35"/>
        <v>34.91671431504048</v>
      </c>
      <c r="H248">
        <f t="shared" si="30"/>
        <v>104.45236409877944</v>
      </c>
      <c r="J248">
        <f t="shared" si="31"/>
        <v>0.9197701066834385</v>
      </c>
      <c r="K248">
        <f t="shared" si="32"/>
        <v>3.4916714315040478</v>
      </c>
      <c r="L248">
        <v>0</v>
      </c>
    </row>
    <row r="249" spans="1:12" x14ac:dyDescent="0.4">
      <c r="A249">
        <v>237</v>
      </c>
      <c r="B249">
        <f t="shared" si="27"/>
        <v>14.701402805611222</v>
      </c>
      <c r="C249">
        <f t="shared" si="28"/>
        <v>0.25378162668294268</v>
      </c>
      <c r="D249">
        <f t="shared" si="33"/>
        <v>110.30196665876844</v>
      </c>
      <c r="E249">
        <f t="shared" si="29"/>
        <v>27.49831526781017</v>
      </c>
      <c r="F249">
        <f t="shared" si="34"/>
        <v>9.1553431842924837</v>
      </c>
      <c r="G249">
        <f t="shared" si="35"/>
        <v>34.894611795207062</v>
      </c>
      <c r="H249">
        <f t="shared" si="30"/>
        <v>103.47778624904691</v>
      </c>
      <c r="J249">
        <f t="shared" si="31"/>
        <v>0.91553431842924837</v>
      </c>
      <c r="K249">
        <f t="shared" si="32"/>
        <v>3.4894611795207062</v>
      </c>
      <c r="L249">
        <v>0</v>
      </c>
    </row>
    <row r="250" spans="1:12" x14ac:dyDescent="0.4">
      <c r="A250">
        <v>238</v>
      </c>
      <c r="B250">
        <f t="shared" si="27"/>
        <v>14.645290581162325</v>
      </c>
      <c r="C250">
        <f t="shared" si="28"/>
        <v>0.25283422424875818</v>
      </c>
      <c r="D250">
        <f t="shared" si="33"/>
        <v>110.47365271625415</v>
      </c>
      <c r="E250">
        <f t="shared" si="29"/>
        <v>27.440528351291761</v>
      </c>
      <c r="F250">
        <f t="shared" si="34"/>
        <v>9.1130769141627432</v>
      </c>
      <c r="G250">
        <f t="shared" si="35"/>
        <v>34.872610947193408</v>
      </c>
      <c r="H250">
        <f t="shared" si="30"/>
        <v>102.51502434718577</v>
      </c>
      <c r="J250">
        <f t="shared" si="31"/>
        <v>0.91130769141627432</v>
      </c>
      <c r="K250">
        <f t="shared" si="32"/>
        <v>3.487261094719341</v>
      </c>
      <c r="L250">
        <v>0</v>
      </c>
    </row>
    <row r="251" spans="1:12" x14ac:dyDescent="0.4">
      <c r="A251">
        <v>239</v>
      </c>
      <c r="B251">
        <f t="shared" si="27"/>
        <v>14.589178356713427</v>
      </c>
      <c r="C251">
        <f t="shared" si="28"/>
        <v>0.25188657931804131</v>
      </c>
      <c r="D251">
        <f t="shared" si="33"/>
        <v>110.64606166240296</v>
      </c>
      <c r="E251">
        <f t="shared" si="29"/>
        <v>27.382379990441805</v>
      </c>
      <c r="F251">
        <f t="shared" si="34"/>
        <v>9.0709017632944864</v>
      </c>
      <c r="G251">
        <f t="shared" si="35"/>
        <v>34.850711563145957</v>
      </c>
      <c r="H251">
        <f t="shared" si="30"/>
        <v>101.56387442202441</v>
      </c>
      <c r="J251">
        <f t="shared" si="31"/>
        <v>0.90709017632944866</v>
      </c>
      <c r="K251">
        <f t="shared" si="32"/>
        <v>3.4850711563145955</v>
      </c>
      <c r="L251">
        <v>0</v>
      </c>
    </row>
    <row r="252" spans="1:12" x14ac:dyDescent="0.4">
      <c r="A252">
        <v>240</v>
      </c>
      <c r="B252">
        <f t="shared" si="27"/>
        <v>14.53306613226453</v>
      </c>
      <c r="C252">
        <f t="shared" si="28"/>
        <v>0.2509386927996905</v>
      </c>
      <c r="D252">
        <f t="shared" si="33"/>
        <v>110.81919349721487</v>
      </c>
      <c r="E252">
        <f t="shared" si="29"/>
        <v>27.323870185260304</v>
      </c>
      <c r="F252">
        <f t="shared" si="34"/>
        <v>9.0288172401086548</v>
      </c>
      <c r="G252">
        <f t="shared" si="35"/>
        <v>34.828913435232188</v>
      </c>
      <c r="H252">
        <f t="shared" si="30"/>
        <v>100.62413678605419</v>
      </c>
      <c r="J252">
        <f t="shared" si="31"/>
        <v>0.90288172401086553</v>
      </c>
      <c r="K252">
        <f t="shared" si="32"/>
        <v>3.4828913435232187</v>
      </c>
      <c r="L252">
        <v>0</v>
      </c>
    </row>
    <row r="253" spans="1:12" x14ac:dyDescent="0.4">
      <c r="A253">
        <v>241</v>
      </c>
      <c r="B253">
        <f t="shared" si="27"/>
        <v>14.476953907815631</v>
      </c>
      <c r="C253">
        <f t="shared" si="28"/>
        <v>0.24999056560283572</v>
      </c>
      <c r="D253">
        <f t="shared" si="33"/>
        <v>110.99304822068987</v>
      </c>
      <c r="E253">
        <f t="shared" si="29"/>
        <v>27.264998935747251</v>
      </c>
      <c r="F253">
        <f t="shared" si="34"/>
        <v>8.9868228545977207</v>
      </c>
      <c r="G253">
        <f t="shared" si="35"/>
        <v>34.807216355659818</v>
      </c>
      <c r="H253">
        <f t="shared" si="30"/>
        <v>99.695615927847456</v>
      </c>
      <c r="J253">
        <f t="shared" si="31"/>
        <v>0.89868228545977202</v>
      </c>
      <c r="K253">
        <f t="shared" si="32"/>
        <v>3.480721635565982</v>
      </c>
      <c r="L253">
        <v>0</v>
      </c>
    </row>
    <row r="254" spans="1:12" x14ac:dyDescent="0.4">
      <c r="A254">
        <v>242</v>
      </c>
      <c r="B254">
        <f t="shared" si="27"/>
        <v>14.420841683366733</v>
      </c>
      <c r="C254">
        <f t="shared" si="28"/>
        <v>0.24904219863683794</v>
      </c>
      <c r="D254">
        <f t="shared" si="33"/>
        <v>111.16762583282798</v>
      </c>
      <c r="E254">
        <f t="shared" si="29"/>
        <v>27.205766241902644</v>
      </c>
      <c r="F254">
        <f t="shared" si="34"/>
        <v>8.9449181183255568</v>
      </c>
      <c r="G254">
        <f t="shared" si="35"/>
        <v>34.785620116695839</v>
      </c>
      <c r="H254">
        <f t="shared" si="30"/>
        <v>98.778120407598223</v>
      </c>
      <c r="J254">
        <f t="shared" si="31"/>
        <v>0.89449181183255566</v>
      </c>
      <c r="K254">
        <f t="shared" si="32"/>
        <v>3.4785620116695837</v>
      </c>
      <c r="L254">
        <v>0</v>
      </c>
    </row>
    <row r="255" spans="1:12" x14ac:dyDescent="0.4">
      <c r="A255">
        <v>243</v>
      </c>
      <c r="B255">
        <f t="shared" si="27"/>
        <v>14.364729458917836</v>
      </c>
      <c r="C255">
        <f t="shared" si="28"/>
        <v>0.24809359281128804</v>
      </c>
      <c r="D255">
        <f t="shared" si="33"/>
        <v>111.34292633362918</v>
      </c>
      <c r="E255">
        <f t="shared" si="29"/>
        <v>27.146172103726492</v>
      </c>
      <c r="F255">
        <f t="shared" si="34"/>
        <v>8.9031025444270515</v>
      </c>
      <c r="G255">
        <f t="shared" si="35"/>
        <v>34.764124510685264</v>
      </c>
      <c r="H255">
        <f t="shared" si="30"/>
        <v>97.871462755684462</v>
      </c>
      <c r="J255">
        <f t="shared" si="31"/>
        <v>0.89031025444270517</v>
      </c>
      <c r="K255">
        <f t="shared" si="32"/>
        <v>3.4764124510685264</v>
      </c>
      <c r="L255">
        <v>0</v>
      </c>
    </row>
    <row r="256" spans="1:12" x14ac:dyDescent="0.4">
      <c r="A256">
        <v>244</v>
      </c>
      <c r="B256">
        <f t="shared" si="27"/>
        <v>14.308617234468938</v>
      </c>
      <c r="C256">
        <f t="shared" si="28"/>
        <v>0.24714474903600589</v>
      </c>
      <c r="D256">
        <f t="shared" si="33"/>
        <v>111.51894972309348</v>
      </c>
      <c r="E256">
        <f t="shared" si="29"/>
        <v>27.086216521218788</v>
      </c>
      <c r="F256">
        <f t="shared" si="34"/>
        <v>8.8613756476076393</v>
      </c>
      <c r="G256">
        <f t="shared" si="35"/>
        <v>34.742729330069778</v>
      </c>
      <c r="H256">
        <f t="shared" si="30"/>
        <v>96.975459374151455</v>
      </c>
      <c r="J256">
        <f t="shared" si="31"/>
        <v>0.88613756476076389</v>
      </c>
      <c r="K256">
        <f t="shared" si="32"/>
        <v>3.4742729330069779</v>
      </c>
      <c r="L256">
        <v>0</v>
      </c>
    </row>
    <row r="257" spans="1:12" x14ac:dyDescent="0.4">
      <c r="A257">
        <v>245</v>
      </c>
      <c r="B257">
        <f t="shared" si="27"/>
        <v>14.252505010020039</v>
      </c>
      <c r="C257">
        <f t="shared" si="28"/>
        <v>0.24619566822103972</v>
      </c>
      <c r="D257">
        <f t="shared" si="33"/>
        <v>111.69569600122088</v>
      </c>
      <c r="E257">
        <f t="shared" si="29"/>
        <v>27.025899494379537</v>
      </c>
      <c r="F257">
        <f t="shared" si="34"/>
        <v>8.8197369441427185</v>
      </c>
      <c r="G257">
        <f t="shared" si="35"/>
        <v>34.72143436740609</v>
      </c>
      <c r="H257">
        <f t="shared" si="30"/>
        <v>96.08993044102003</v>
      </c>
      <c r="J257">
        <f t="shared" si="31"/>
        <v>0.88197369441427187</v>
      </c>
      <c r="K257">
        <f t="shared" si="32"/>
        <v>3.472143436740609</v>
      </c>
      <c r="L257">
        <v>0</v>
      </c>
    </row>
    <row r="258" spans="1:12" x14ac:dyDescent="0.4">
      <c r="A258">
        <v>246</v>
      </c>
      <c r="B258">
        <f t="shared" si="27"/>
        <v>14.196392785571142</v>
      </c>
      <c r="C258">
        <f t="shared" si="28"/>
        <v>0.24524635127666503</v>
      </c>
      <c r="D258">
        <f t="shared" si="33"/>
        <v>111.87316516801138</v>
      </c>
      <c r="E258">
        <f t="shared" si="29"/>
        <v>26.965221023208741</v>
      </c>
      <c r="F258">
        <f t="shared" si="34"/>
        <v>8.7781859518768446</v>
      </c>
      <c r="G258">
        <f t="shared" si="35"/>
        <v>34.700239415384175</v>
      </c>
      <c r="H258">
        <f t="shared" si="30"/>
        <v>95.214699817328878</v>
      </c>
      <c r="J258">
        <f t="shared" si="31"/>
        <v>0.87781859518768446</v>
      </c>
      <c r="K258">
        <f t="shared" si="32"/>
        <v>3.4700239415384173</v>
      </c>
      <c r="L258">
        <v>0</v>
      </c>
    </row>
    <row r="259" spans="1:12" x14ac:dyDescent="0.4">
      <c r="A259">
        <v>247</v>
      </c>
      <c r="B259">
        <f t="shared" si="27"/>
        <v>14.140280561122244</v>
      </c>
      <c r="C259">
        <f t="shared" si="28"/>
        <v>0.24429679911338387</v>
      </c>
      <c r="D259">
        <f t="shared" si="33"/>
        <v>112.05135722346496</v>
      </c>
      <c r="E259">
        <f t="shared" si="29"/>
        <v>26.9041811077064</v>
      </c>
      <c r="F259">
        <f t="shared" si="34"/>
        <v>8.7367221902228724</v>
      </c>
      <c r="G259">
        <f t="shared" si="35"/>
        <v>34.679144266845256</v>
      </c>
      <c r="H259">
        <f t="shared" si="30"/>
        <v>94.349594956821619</v>
      </c>
      <c r="J259">
        <f t="shared" si="31"/>
        <v>0.8736722190222872</v>
      </c>
      <c r="K259">
        <f t="shared" si="32"/>
        <v>3.4679144266845254</v>
      </c>
      <c r="L259">
        <v>0</v>
      </c>
    </row>
    <row r="260" spans="1:12" x14ac:dyDescent="0.4">
      <c r="A260">
        <v>248</v>
      </c>
      <c r="B260">
        <f t="shared" si="27"/>
        <v>14.084168336673347</v>
      </c>
      <c r="C260">
        <f t="shared" si="28"/>
        <v>0.24334701264192379</v>
      </c>
      <c r="D260">
        <f t="shared" si="33"/>
        <v>112.23027216758166</v>
      </c>
      <c r="E260">
        <f t="shared" si="29"/>
        <v>26.842779747872498</v>
      </c>
      <c r="F260">
        <f t="shared" si="34"/>
        <v>8.6953451801608583</v>
      </c>
      <c r="G260">
        <f t="shared" si="35"/>
        <v>34.658148714799616</v>
      </c>
      <c r="H260">
        <f t="shared" si="30"/>
        <v>93.494446818191093</v>
      </c>
      <c r="J260">
        <f t="shared" si="31"/>
        <v>0.86953451801608583</v>
      </c>
      <c r="K260">
        <f t="shared" si="32"/>
        <v>3.4658148714799615</v>
      </c>
      <c r="L260">
        <v>0</v>
      </c>
    </row>
    <row r="261" spans="1:12" x14ac:dyDescent="0.4">
      <c r="A261">
        <v>249</v>
      </c>
      <c r="B261">
        <f t="shared" si="27"/>
        <v>14.02805611222445</v>
      </c>
      <c r="C261">
        <f t="shared" si="28"/>
        <v>0.24239699277323717</v>
      </c>
      <c r="D261">
        <f t="shared" si="33"/>
        <v>112.40991000036144</v>
      </c>
      <c r="E261">
        <f t="shared" si="29"/>
        <v>26.781016943707058</v>
      </c>
      <c r="F261">
        <f t="shared" si="34"/>
        <v>8.6540544442369267</v>
      </c>
      <c r="G261">
        <f t="shared" si="35"/>
        <v>34.637252552444188</v>
      </c>
      <c r="H261">
        <f t="shared" si="30"/>
        <v>92.649089779803717</v>
      </c>
      <c r="J261">
        <f t="shared" si="31"/>
        <v>0.86540544442369272</v>
      </c>
      <c r="K261">
        <f t="shared" si="32"/>
        <v>3.4637252552444187</v>
      </c>
      <c r="L261">
        <v>0</v>
      </c>
    </row>
    <row r="262" spans="1:12" x14ac:dyDescent="0.4">
      <c r="A262">
        <v>250</v>
      </c>
      <c r="B262">
        <f t="shared" si="27"/>
        <v>13.97194388777555</v>
      </c>
      <c r="C262">
        <f t="shared" si="28"/>
        <v>0.24144674041850012</v>
      </c>
      <c r="D262">
        <f t="shared" si="33"/>
        <v>112.59027072180433</v>
      </c>
      <c r="E262">
        <f t="shared" si="29"/>
        <v>26.718892695210059</v>
      </c>
      <c r="F262">
        <f t="shared" si="34"/>
        <v>8.6128495065619113</v>
      </c>
      <c r="G262">
        <f t="shared" si="35"/>
        <v>34.616455573180019</v>
      </c>
      <c r="H262">
        <f t="shared" si="30"/>
        <v>91.813361556816304</v>
      </c>
      <c r="J262">
        <f t="shared" si="31"/>
        <v>0.86128495065619115</v>
      </c>
      <c r="K262">
        <f t="shared" si="32"/>
        <v>3.4616455573180018</v>
      </c>
      <c r="L262">
        <v>0</v>
      </c>
    </row>
    <row r="263" spans="1:12" x14ac:dyDescent="0.4">
      <c r="A263">
        <v>251</v>
      </c>
      <c r="B263">
        <f t="shared" si="27"/>
        <v>13.915831663326653</v>
      </c>
      <c r="C263">
        <f t="shared" si="28"/>
        <v>0.24049625648911191</v>
      </c>
      <c r="D263">
        <f t="shared" si="33"/>
        <v>112.77135433191032</v>
      </c>
      <c r="E263">
        <f t="shared" si="29"/>
        <v>26.656407002381513</v>
      </c>
      <c r="F263">
        <f t="shared" si="34"/>
        <v>8.5717298928099694</v>
      </c>
      <c r="G263">
        <f t="shared" si="35"/>
        <v>34.595757570629473</v>
      </c>
      <c r="H263">
        <f t="shared" si="30"/>
        <v>90.987103120616922</v>
      </c>
      <c r="J263">
        <f t="shared" si="31"/>
        <v>0.85717298928099694</v>
      </c>
      <c r="K263">
        <f t="shared" si="32"/>
        <v>3.4595757570629475</v>
      </c>
      <c r="L263">
        <v>0</v>
      </c>
    </row>
    <row r="264" spans="1:12" x14ac:dyDescent="0.4">
      <c r="A264">
        <v>252</v>
      </c>
      <c r="B264">
        <f t="shared" si="27"/>
        <v>13.859719438877756</v>
      </c>
      <c r="C264">
        <f t="shared" si="28"/>
        <v>0.23954554189669375</v>
      </c>
      <c r="D264">
        <f t="shared" si="33"/>
        <v>112.95316083067939</v>
      </c>
      <c r="E264">
        <f t="shared" si="29"/>
        <v>26.593559865221422</v>
      </c>
      <c r="F264">
        <f t="shared" si="34"/>
        <v>8.5306951302169676</v>
      </c>
      <c r="G264">
        <f t="shared" si="35"/>
        <v>34.575158338653289</v>
      </c>
      <c r="H264">
        <f t="shared" si="30"/>
        <v>90.170158620510108</v>
      </c>
      <c r="J264">
        <f t="shared" si="31"/>
        <v>0.85306951302169676</v>
      </c>
      <c r="K264">
        <f t="shared" si="32"/>
        <v>3.4575158338653287</v>
      </c>
      <c r="L264">
        <v>0</v>
      </c>
    </row>
    <row r="265" spans="1:12" x14ac:dyDescent="0.4">
      <c r="A265">
        <v>253</v>
      </c>
      <c r="B265">
        <f t="shared" si="27"/>
        <v>13.803607214428858</v>
      </c>
      <c r="C265">
        <f t="shared" si="28"/>
        <v>0.23859459755308809</v>
      </c>
      <c r="D265">
        <f t="shared" si="33"/>
        <v>113.13569021811156</v>
      </c>
      <c r="E265">
        <f t="shared" si="29"/>
        <v>26.530351283729786</v>
      </c>
      <c r="F265">
        <f t="shared" si="34"/>
        <v>8.4897447475787935</v>
      </c>
      <c r="G265">
        <f t="shared" si="35"/>
        <v>34.554657671367458</v>
      </c>
      <c r="H265">
        <f t="shared" si="30"/>
        <v>89.362375307577807</v>
      </c>
      <c r="J265">
        <f t="shared" si="31"/>
        <v>0.84897447475787935</v>
      </c>
      <c r="K265">
        <f t="shared" si="32"/>
        <v>3.4554657671367459</v>
      </c>
      <c r="L265">
        <v>0</v>
      </c>
    </row>
    <row r="266" spans="1:12" x14ac:dyDescent="0.4">
      <c r="A266">
        <v>254</v>
      </c>
      <c r="B266">
        <f t="shared" si="27"/>
        <v>13.747494989979959</v>
      </c>
      <c r="C266">
        <f t="shared" si="28"/>
        <v>0.23764342437035788</v>
      </c>
      <c r="D266">
        <f t="shared" si="33"/>
        <v>113.31894249420685</v>
      </c>
      <c r="E266">
        <f t="shared" si="29"/>
        <v>26.466781257906597</v>
      </c>
      <c r="F266">
        <f t="shared" si="34"/>
        <v>8.4488782752494807</v>
      </c>
      <c r="G266">
        <f t="shared" si="35"/>
        <v>34.534255363159836</v>
      </c>
      <c r="H266">
        <f t="shared" si="30"/>
        <v>88.563603460646746</v>
      </c>
      <c r="J266">
        <f t="shared" si="31"/>
        <v>0.84488782752494807</v>
      </c>
      <c r="K266">
        <f t="shared" si="32"/>
        <v>3.4534255363159838</v>
      </c>
      <c r="L266">
        <v>0</v>
      </c>
    </row>
    <row r="267" spans="1:12" x14ac:dyDescent="0.4">
      <c r="A267">
        <v>255</v>
      </c>
      <c r="B267">
        <f t="shared" si="27"/>
        <v>13.691382765531062</v>
      </c>
      <c r="C267">
        <f t="shared" si="28"/>
        <v>0.23669202326078542</v>
      </c>
      <c r="D267">
        <f t="shared" si="33"/>
        <v>113.50291765896523</v>
      </c>
      <c r="E267">
        <f t="shared" si="29"/>
        <v>26.402849787751855</v>
      </c>
      <c r="F267">
        <f t="shared" si="34"/>
        <v>8.40809524513935</v>
      </c>
      <c r="G267">
        <f t="shared" si="35"/>
        <v>34.51395120870675</v>
      </c>
      <c r="H267">
        <f t="shared" si="30"/>
        <v>87.773696314295663</v>
      </c>
      <c r="J267">
        <f t="shared" si="31"/>
        <v>0.84080952451393498</v>
      </c>
      <c r="K267">
        <f t="shared" si="32"/>
        <v>3.451395120870675</v>
      </c>
      <c r="L267">
        <v>0</v>
      </c>
    </row>
    <row r="268" spans="1:12" x14ac:dyDescent="0.4">
      <c r="A268">
        <v>256</v>
      </c>
      <c r="B268">
        <f t="shared" ref="B268:B331" si="36">IF(A268="",NA(),-$B$3/($B$2-1)*A268+$B$3)</f>
        <v>13.635270541082164</v>
      </c>
      <c r="C268">
        <f t="shared" ref="C268:C331" si="37">SIN(RADIANS(B268))</f>
        <v>0.2357403951368717</v>
      </c>
      <c r="D268">
        <f t="shared" si="33"/>
        <v>113.68761571238669</v>
      </c>
      <c r="E268">
        <f t="shared" ref="E268:E331" si="38">IFERROR(90-(B268+D268)/2,IF($B$2-1=A268,E267,NA()))</f>
        <v>26.338556873265574</v>
      </c>
      <c r="F268">
        <f t="shared" si="34"/>
        <v>8.3673951907128323</v>
      </c>
      <c r="G268">
        <f t="shared" si="35"/>
        <v>34.493745002989201</v>
      </c>
      <c r="H268">
        <f t="shared" ref="H268:H331" si="39">IF(A268="",NA(),F268-G268/TAN(RADIANS(270-D268)))</f>
        <v>86.992509988838734</v>
      </c>
      <c r="J268">
        <f t="shared" ref="J268:J331" si="40">IF(A268="",NA(),F268/10)</f>
        <v>0.83673951907128319</v>
      </c>
      <c r="K268">
        <f t="shared" ref="K268:K331" si="41">IF(A268="",NA(),G268/10)</f>
        <v>3.4493745002989202</v>
      </c>
      <c r="L268">
        <v>0</v>
      </c>
    </row>
    <row r="269" spans="1:12" x14ac:dyDescent="0.4">
      <c r="A269">
        <v>257</v>
      </c>
      <c r="B269">
        <f t="shared" si="36"/>
        <v>13.579158316633267</v>
      </c>
      <c r="C269">
        <f t="shared" si="37"/>
        <v>0.23478854091133539</v>
      </c>
      <c r="D269">
        <f t="shared" ref="D269:D332" si="42" xml:space="preserve"> IF(A269="", NA(), MEDIAN(90, 180, $F$3*B269^2 - ((90+$F$3*$B$3^2)/$B$3)*B269 + 180))</f>
        <v>113.87303665447126</v>
      </c>
      <c r="E269">
        <f t="shared" si="38"/>
        <v>26.273902514447734</v>
      </c>
      <c r="F269">
        <f t="shared" ref="F269:F332" si="43">IFERROR(F268*(TAN(RADIANS(E268))-TAN(RADIANS(90-B268)))/(TAN(RADIANS(E268))-TAN(RADIANS(90-B269))),IF($B$2-1=A269,0,NA()))</f>
        <v>8.3267776469863186</v>
      </c>
      <c r="G269">
        <f t="shared" ref="G269:G332" si="44">IFERROR(TAN(RADIANS(90-B269))*F269,IF($B$2-1=A269,G268,NA()))</f>
        <v>34.473636541309055</v>
      </c>
      <c r="H269">
        <f t="shared" si="39"/>
        <v>86.219903422222671</v>
      </c>
      <c r="J269">
        <f t="shared" si="40"/>
        <v>0.83267776469863186</v>
      </c>
      <c r="K269">
        <f t="shared" si="41"/>
        <v>3.4473636541309056</v>
      </c>
      <c r="L269">
        <v>0</v>
      </c>
    </row>
    <row r="270" spans="1:12" x14ac:dyDescent="0.4">
      <c r="A270">
        <v>258</v>
      </c>
      <c r="B270">
        <f t="shared" si="36"/>
        <v>13.523046092184369</v>
      </c>
      <c r="C270">
        <f t="shared" si="37"/>
        <v>0.23383646149711196</v>
      </c>
      <c r="D270">
        <f t="shared" si="42"/>
        <v>114.05918048521892</v>
      </c>
      <c r="E270">
        <f t="shared" si="38"/>
        <v>26.208886711298355</v>
      </c>
      <c r="F270">
        <f t="shared" si="43"/>
        <v>8.2862421505258368</v>
      </c>
      <c r="G270">
        <f t="shared" si="44"/>
        <v>34.453625619305008</v>
      </c>
      <c r="H270">
        <f t="shared" si="39"/>
        <v>85.455738303780052</v>
      </c>
      <c r="J270">
        <f t="shared" si="40"/>
        <v>0.82862421505258366</v>
      </c>
      <c r="K270">
        <f t="shared" si="41"/>
        <v>3.4453625619305006</v>
      </c>
      <c r="L270">
        <v>0</v>
      </c>
    </row>
    <row r="271" spans="1:12" x14ac:dyDescent="0.4">
      <c r="A271">
        <v>259</v>
      </c>
      <c r="B271">
        <f t="shared" si="36"/>
        <v>13.46693386773547</v>
      </c>
      <c r="C271">
        <f t="shared" si="37"/>
        <v>0.232884157807353</v>
      </c>
      <c r="D271">
        <f t="shared" si="42"/>
        <v>114.2460472046297</v>
      </c>
      <c r="E271">
        <f t="shared" si="38"/>
        <v>26.143509463817409</v>
      </c>
      <c r="F271">
        <f t="shared" si="43"/>
        <v>8.2457882394445789</v>
      </c>
      <c r="G271">
        <f t="shared" si="44"/>
        <v>34.433712032968337</v>
      </c>
      <c r="H271">
        <f t="shared" si="39"/>
        <v>84.699879009777405</v>
      </c>
      <c r="J271">
        <f t="shared" si="40"/>
        <v>0.82457882394445792</v>
      </c>
      <c r="K271">
        <f t="shared" si="41"/>
        <v>3.4433712032968335</v>
      </c>
      <c r="L271">
        <v>0</v>
      </c>
    </row>
    <row r="272" spans="1:12" x14ac:dyDescent="0.4">
      <c r="A272">
        <v>260</v>
      </c>
      <c r="B272">
        <f t="shared" si="36"/>
        <v>13.410821643286573</v>
      </c>
      <c r="C272">
        <f t="shared" si="37"/>
        <v>0.23193163075542511</v>
      </c>
      <c r="D272">
        <f t="shared" si="42"/>
        <v>114.43363681270355</v>
      </c>
      <c r="E272">
        <f t="shared" si="38"/>
        <v>26.077770772004939</v>
      </c>
      <c r="F272">
        <f t="shared" si="43"/>
        <v>8.2054154534004251</v>
      </c>
      <c r="G272">
        <f t="shared" si="44"/>
        <v>34.413895578658554</v>
      </c>
      <c r="H272">
        <f t="shared" si="39"/>
        <v>83.952192540708154</v>
      </c>
      <c r="J272">
        <f t="shared" si="40"/>
        <v>0.82054154534004253</v>
      </c>
      <c r="K272">
        <f t="shared" si="41"/>
        <v>3.4413895578658553</v>
      </c>
      <c r="L272">
        <v>0</v>
      </c>
    </row>
    <row r="273" spans="1:12" x14ac:dyDescent="0.4">
      <c r="A273">
        <v>261</v>
      </c>
      <c r="B273">
        <f t="shared" si="36"/>
        <v>13.354709418837675</v>
      </c>
      <c r="C273">
        <f t="shared" si="37"/>
        <v>0.2309788812549092</v>
      </c>
      <c r="D273">
        <f t="shared" si="42"/>
        <v>114.62194930944052</v>
      </c>
      <c r="E273">
        <f t="shared" si="38"/>
        <v>26.011670635860902</v>
      </c>
      <c r="F273">
        <f t="shared" si="43"/>
        <v>8.1651233335931934</v>
      </c>
      <c r="G273">
        <f t="shared" si="44"/>
        <v>34.394176053118812</v>
      </c>
      <c r="H273">
        <f t="shared" si="39"/>
        <v>83.212548460270426</v>
      </c>
      <c r="J273">
        <f t="shared" si="40"/>
        <v>0.81651233335931939</v>
      </c>
      <c r="K273">
        <f t="shared" si="41"/>
        <v>3.4394176053118812</v>
      </c>
      <c r="L273">
        <v>0</v>
      </c>
    </row>
    <row r="274" spans="1:12" x14ac:dyDescent="0.4">
      <c r="A274">
        <v>262</v>
      </c>
      <c r="B274">
        <f t="shared" si="36"/>
        <v>13.298597194388778</v>
      </c>
      <c r="C274">
        <f t="shared" si="37"/>
        <v>0.23002591021959939</v>
      </c>
      <c r="D274">
        <f t="shared" si="42"/>
        <v>114.81098469484057</v>
      </c>
      <c r="E274">
        <f t="shared" si="38"/>
        <v>25.94520905538532</v>
      </c>
      <c r="F274">
        <f t="shared" si="43"/>
        <v>8.1249114227619099</v>
      </c>
      <c r="G274">
        <f t="shared" si="44"/>
        <v>34.374553253491193</v>
      </c>
      <c r="H274">
        <f t="shared" si="39"/>
        <v>82.480818835983783</v>
      </c>
      <c r="J274">
        <f t="shared" si="40"/>
        <v>0.81249114227619101</v>
      </c>
      <c r="K274">
        <f t="shared" si="41"/>
        <v>3.4374553253491191</v>
      </c>
      <c r="L274">
        <v>0</v>
      </c>
    </row>
    <row r="275" spans="1:12" x14ac:dyDescent="0.4">
      <c r="A275">
        <v>263</v>
      </c>
      <c r="B275">
        <f t="shared" si="36"/>
        <v>13.242484969939879</v>
      </c>
      <c r="C275">
        <f t="shared" si="37"/>
        <v>0.22907271856350245</v>
      </c>
      <c r="D275">
        <f t="shared" si="42"/>
        <v>115.00074296890375</v>
      </c>
      <c r="E275">
        <f t="shared" si="38"/>
        <v>25.878386030578184</v>
      </c>
      <c r="F275">
        <f t="shared" si="43"/>
        <v>8.084779265181897</v>
      </c>
      <c r="G275">
        <f t="shared" si="44"/>
        <v>34.355026977331825</v>
      </c>
      <c r="H275">
        <f t="shared" si="39"/>
        <v>81.756878181389908</v>
      </c>
      <c r="J275">
        <f t="shared" si="40"/>
        <v>0.80847792651818973</v>
      </c>
      <c r="K275">
        <f t="shared" si="41"/>
        <v>3.4355026977331824</v>
      </c>
      <c r="L275">
        <v>0</v>
      </c>
    </row>
    <row r="276" spans="1:12" x14ac:dyDescent="0.4">
      <c r="A276">
        <v>264</v>
      </c>
      <c r="B276">
        <f t="shared" si="36"/>
        <v>13.186372745490981</v>
      </c>
      <c r="C276">
        <f t="shared" si="37"/>
        <v>0.22811930720083662</v>
      </c>
      <c r="D276">
        <f t="shared" si="42"/>
        <v>115.19122413162999</v>
      </c>
      <c r="E276">
        <f t="shared" si="38"/>
        <v>25.811201561439518</v>
      </c>
      <c r="F276">
        <f t="shared" si="43"/>
        <v>8.0447264066617965</v>
      </c>
      <c r="G276">
        <f t="shared" si="44"/>
        <v>34.335597022625805</v>
      </c>
      <c r="H276">
        <f t="shared" si="39"/>
        <v>81.040603399794591</v>
      </c>
      <c r="J276">
        <f t="shared" si="40"/>
        <v>0.80447264066617963</v>
      </c>
      <c r="K276">
        <f t="shared" si="41"/>
        <v>3.4335597022625803</v>
      </c>
      <c r="L276">
        <v>0</v>
      </c>
    </row>
    <row r="277" spans="1:12" x14ac:dyDescent="0.4">
      <c r="A277">
        <v>265</v>
      </c>
      <c r="B277">
        <f t="shared" si="36"/>
        <v>13.130260521042084</v>
      </c>
      <c r="C277">
        <f t="shared" si="37"/>
        <v>0.22716567704603091</v>
      </c>
      <c r="D277">
        <f t="shared" si="42"/>
        <v>115.38242818301936</v>
      </c>
      <c r="E277">
        <f t="shared" si="38"/>
        <v>25.743655647969277</v>
      </c>
      <c r="F277">
        <f t="shared" si="43"/>
        <v>8.0047523945404109</v>
      </c>
      <c r="G277">
        <f t="shared" si="44"/>
        <v>34.316263187801951</v>
      </c>
      <c r="H277">
        <f t="shared" si="39"/>
        <v>80.331873729497261</v>
      </c>
      <c r="J277">
        <f t="shared" si="40"/>
        <v>0.80047523945404109</v>
      </c>
      <c r="K277">
        <f t="shared" si="41"/>
        <v>3.4316263187801952</v>
      </c>
      <c r="L277">
        <v>0</v>
      </c>
    </row>
    <row r="278" spans="1:12" x14ac:dyDescent="0.4">
      <c r="A278">
        <v>266</v>
      </c>
      <c r="B278">
        <f t="shared" si="36"/>
        <v>13.074148296593187</v>
      </c>
      <c r="C278">
        <f t="shared" si="37"/>
        <v>0.22621182901372419</v>
      </c>
      <c r="D278">
        <f t="shared" si="42"/>
        <v>115.5743551230718</v>
      </c>
      <c r="E278">
        <f t="shared" si="38"/>
        <v>25.675748290167505</v>
      </c>
      <c r="F278">
        <f t="shared" si="43"/>
        <v>7.9648567776835604</v>
      </c>
      <c r="G278">
        <f t="shared" si="44"/>
        <v>34.297025271747493</v>
      </c>
      <c r="H278">
        <f t="shared" si="39"/>
        <v>79.63057069047025</v>
      </c>
      <c r="J278">
        <f t="shared" si="40"/>
        <v>0.79648567776835599</v>
      </c>
      <c r="K278">
        <f t="shared" si="41"/>
        <v>3.4297025271747494</v>
      </c>
      <c r="L278">
        <v>0</v>
      </c>
    </row>
    <row r="279" spans="1:12" x14ac:dyDescent="0.4">
      <c r="A279">
        <v>267</v>
      </c>
      <c r="B279">
        <f t="shared" si="36"/>
        <v>13.018036072144289</v>
      </c>
      <c r="C279">
        <f t="shared" si="37"/>
        <v>0.22525776401876427</v>
      </c>
      <c r="D279">
        <f t="shared" si="42"/>
        <v>115.76700495178734</v>
      </c>
      <c r="E279">
        <f t="shared" si="38"/>
        <v>25.607479488034187</v>
      </c>
      <c r="F279">
        <f t="shared" si="43"/>
        <v>7.9250391064807051</v>
      </c>
      <c r="G279">
        <f t="shared" si="44"/>
        <v>34.277883073822444</v>
      </c>
      <c r="H279">
        <f t="shared" si="39"/>
        <v>78.936578032438945</v>
      </c>
      <c r="J279">
        <f t="shared" si="40"/>
        <v>0.79250391064807046</v>
      </c>
      <c r="K279">
        <f t="shared" si="41"/>
        <v>3.4277883073822446</v>
      </c>
      <c r="L279">
        <v>0</v>
      </c>
    </row>
    <row r="280" spans="1:12" x14ac:dyDescent="0.4">
      <c r="A280">
        <v>268</v>
      </c>
      <c r="B280">
        <f t="shared" si="36"/>
        <v>12.96192384769539</v>
      </c>
      <c r="C280">
        <f t="shared" si="37"/>
        <v>0.22430348297620709</v>
      </c>
      <c r="D280">
        <f t="shared" si="42"/>
        <v>115.96037766916599</v>
      </c>
      <c r="E280">
        <f t="shared" si="38"/>
        <v>25.538849241569309</v>
      </c>
      <c r="F280">
        <f t="shared" si="43"/>
        <v>7.8852989328415868</v>
      </c>
      <c r="G280">
        <f t="shared" si="44"/>
        <v>34.25883639387397</v>
      </c>
      <c r="H280">
        <f t="shared" si="39"/>
        <v>78.249781684323494</v>
      </c>
      <c r="J280">
        <f t="shared" si="40"/>
        <v>0.78852989328415868</v>
      </c>
      <c r="K280">
        <f t="shared" si="41"/>
        <v>3.425883639387397</v>
      </c>
      <c r="L280">
        <v>0</v>
      </c>
    </row>
    <row r="281" spans="1:12" x14ac:dyDescent="0.4">
      <c r="A281">
        <v>269</v>
      </c>
      <c r="B281">
        <f t="shared" si="36"/>
        <v>12.905811623246493</v>
      </c>
      <c r="C281">
        <f t="shared" si="37"/>
        <v>0.22334898680131576</v>
      </c>
      <c r="D281">
        <f t="shared" si="42"/>
        <v>116.15447327520772</v>
      </c>
      <c r="E281">
        <f t="shared" si="38"/>
        <v>25.4698575507729</v>
      </c>
      <c r="F281">
        <f t="shared" si="43"/>
        <v>7.8456358101926424</v>
      </c>
      <c r="G281">
        <f t="shared" si="44"/>
        <v>34.239885032250477</v>
      </c>
      <c r="H281">
        <f t="shared" si="39"/>
        <v>77.570069705001018</v>
      </c>
      <c r="J281">
        <f t="shared" si="40"/>
        <v>0.78456358101926427</v>
      </c>
      <c r="K281">
        <f t="shared" si="41"/>
        <v>3.4239885032250479</v>
      </c>
      <c r="L281">
        <v>0</v>
      </c>
    </row>
    <row r="282" spans="1:12" x14ac:dyDescent="0.4">
      <c r="A282">
        <v>270</v>
      </c>
      <c r="B282">
        <f t="shared" si="36"/>
        <v>12.849699398797595</v>
      </c>
      <c r="C282">
        <f t="shared" si="37"/>
        <v>0.22239427640955978</v>
      </c>
      <c r="D282">
        <f t="shared" si="42"/>
        <v>116.34929176991257</v>
      </c>
      <c r="E282">
        <f t="shared" si="38"/>
        <v>25.400504415644917</v>
      </c>
      <c r="F282">
        <f t="shared" si="43"/>
        <v>7.8060492934734018</v>
      </c>
      <c r="G282">
        <f t="shared" si="44"/>
        <v>34.221028789815612</v>
      </c>
      <c r="H282">
        <f t="shared" si="39"/>
        <v>76.897332235347207</v>
      </c>
      <c r="J282">
        <f t="shared" si="40"/>
        <v>0.78060492934734016</v>
      </c>
      <c r="K282">
        <f t="shared" si="41"/>
        <v>3.4221028789815611</v>
      </c>
      <c r="L282">
        <v>0</v>
      </c>
    </row>
    <row r="283" spans="1:12" x14ac:dyDescent="0.4">
      <c r="A283">
        <v>271</v>
      </c>
      <c r="B283">
        <f t="shared" si="36"/>
        <v>12.793587174348698</v>
      </c>
      <c r="C283">
        <f t="shared" si="37"/>
        <v>0.22143935271661405</v>
      </c>
      <c r="D283">
        <f t="shared" si="42"/>
        <v>116.54483315328051</v>
      </c>
      <c r="E283">
        <f t="shared" si="38"/>
        <v>25.330789836185403</v>
      </c>
      <c r="F283">
        <f t="shared" si="43"/>
        <v>7.7665389391328006</v>
      </c>
      <c r="G283">
        <f t="shared" si="44"/>
        <v>34.20226746796213</v>
      </c>
      <c r="H283">
        <f t="shared" si="39"/>
        <v>76.231461451522634</v>
      </c>
      <c r="J283">
        <f t="shared" si="40"/>
        <v>0.7766538939132801</v>
      </c>
      <c r="K283">
        <f t="shared" si="41"/>
        <v>3.4202267467962129</v>
      </c>
      <c r="L283">
        <v>0</v>
      </c>
    </row>
    <row r="284" spans="1:12" x14ac:dyDescent="0.4">
      <c r="A284">
        <v>272</v>
      </c>
      <c r="B284">
        <f t="shared" si="36"/>
        <v>12.737474949899799</v>
      </c>
      <c r="C284">
        <f t="shared" si="37"/>
        <v>0.22048421663835802</v>
      </c>
      <c r="D284">
        <f t="shared" si="42"/>
        <v>116.74109742531155</v>
      </c>
      <c r="E284">
        <f t="shared" si="38"/>
        <v>25.260713812394329</v>
      </c>
      <c r="F284">
        <f t="shared" si="43"/>
        <v>7.7271043051253283</v>
      </c>
      <c r="G284">
        <f t="shared" si="44"/>
        <v>34.18360086862554</v>
      </c>
      <c r="H284">
        <f t="shared" si="39"/>
        <v>75.572351519464121</v>
      </c>
      <c r="J284">
        <f t="shared" si="40"/>
        <v>0.77271043051253285</v>
      </c>
      <c r="K284">
        <f t="shared" si="41"/>
        <v>3.4183600868625539</v>
      </c>
      <c r="L284">
        <v>0</v>
      </c>
    </row>
    <row r="285" spans="1:12" x14ac:dyDescent="0.4">
      <c r="A285">
        <v>273</v>
      </c>
      <c r="B285">
        <f t="shared" si="36"/>
        <v>12.681362725450901</v>
      </c>
      <c r="C285">
        <f t="shared" si="37"/>
        <v>0.21952886909087502</v>
      </c>
      <c r="D285">
        <f t="shared" si="42"/>
        <v>116.93808458600567</v>
      </c>
      <c r="E285">
        <f t="shared" si="38"/>
        <v>25.190276344271709</v>
      </c>
      <c r="F285">
        <f t="shared" si="43"/>
        <v>7.6877449509071587</v>
      </c>
      <c r="G285">
        <f t="shared" si="44"/>
        <v>34.165028794297676</v>
      </c>
      <c r="H285">
        <f t="shared" si="39"/>
        <v>74.919898550546804</v>
      </c>
      <c r="J285">
        <f t="shared" si="40"/>
        <v>0.76877449509071583</v>
      </c>
      <c r="K285">
        <f t="shared" si="41"/>
        <v>3.4165028794297676</v>
      </c>
      <c r="L285">
        <v>0</v>
      </c>
    </row>
    <row r="286" spans="1:12" x14ac:dyDescent="0.4">
      <c r="A286">
        <v>274</v>
      </c>
      <c r="B286">
        <f t="shared" si="36"/>
        <v>12.625250501002004</v>
      </c>
      <c r="C286">
        <f t="shared" si="37"/>
        <v>0.21857331099045096</v>
      </c>
      <c r="D286">
        <f t="shared" si="42"/>
        <v>117.13579463536291</v>
      </c>
      <c r="E286">
        <f t="shared" si="38"/>
        <v>25.119477431817543</v>
      </c>
      <c r="F286">
        <f t="shared" si="43"/>
        <v>7.6484604374321057</v>
      </c>
      <c r="G286">
        <f t="shared" si="44"/>
        <v>34.146551048040067</v>
      </c>
      <c r="H286">
        <f t="shared" si="39"/>
        <v>74.274000558382753</v>
      </c>
      <c r="J286">
        <f t="shared" si="40"/>
        <v>0.76484604374321052</v>
      </c>
      <c r="K286">
        <f t="shared" si="41"/>
        <v>3.4146551048040066</v>
      </c>
      <c r="L286">
        <v>0</v>
      </c>
    </row>
    <row r="287" spans="1:12" x14ac:dyDescent="0.4">
      <c r="A287">
        <v>275</v>
      </c>
      <c r="B287">
        <f t="shared" si="36"/>
        <v>12.569138276553106</v>
      </c>
      <c r="C287">
        <f t="shared" si="37"/>
        <v>0.21761754325357391</v>
      </c>
      <c r="D287">
        <f t="shared" si="42"/>
        <v>117.33422757338323</v>
      </c>
      <c r="E287">
        <f t="shared" si="38"/>
        <v>25.048317075031832</v>
      </c>
      <c r="F287">
        <f t="shared" si="43"/>
        <v>7.6092503271475183</v>
      </c>
      <c r="G287">
        <f t="shared" si="44"/>
        <v>34.128167433497175</v>
      </c>
      <c r="H287">
        <f t="shared" si="39"/>
        <v>73.634557416722416</v>
      </c>
      <c r="J287">
        <f t="shared" si="40"/>
        <v>0.76092503271475187</v>
      </c>
      <c r="K287">
        <f t="shared" si="41"/>
        <v>3.4128167433497176</v>
      </c>
      <c r="L287">
        <v>0</v>
      </c>
    </row>
    <row r="288" spans="1:12" x14ac:dyDescent="0.4">
      <c r="A288">
        <v>276</v>
      </c>
      <c r="B288">
        <f t="shared" si="36"/>
        <v>12.513026052104209</v>
      </c>
      <c r="C288">
        <f t="shared" si="37"/>
        <v>0.21666156679693285</v>
      </c>
      <c r="D288">
        <f t="shared" si="42"/>
        <v>117.53338340006667</v>
      </c>
      <c r="E288">
        <f t="shared" si="38"/>
        <v>24.976795273914561</v>
      </c>
      <c r="F288">
        <f t="shared" si="43"/>
        <v>7.570114183990146</v>
      </c>
      <c r="G288">
        <f t="shared" si="44"/>
        <v>34.109877754909519</v>
      </c>
      <c r="H288">
        <f t="shared" si="39"/>
        <v>73.001470818426711</v>
      </c>
      <c r="J288">
        <f t="shared" si="40"/>
        <v>0.75701141839901465</v>
      </c>
      <c r="K288">
        <f t="shared" si="41"/>
        <v>3.4109877754909519</v>
      </c>
      <c r="L288">
        <v>0</v>
      </c>
    </row>
    <row r="289" spans="1:12" x14ac:dyDescent="0.4">
      <c r="A289">
        <v>277</v>
      </c>
      <c r="B289">
        <f t="shared" si="36"/>
        <v>12.45691382765531</v>
      </c>
      <c r="C289">
        <f t="shared" si="37"/>
        <v>0.215705382537417</v>
      </c>
      <c r="D289">
        <f t="shared" si="42"/>
        <v>117.73326211541318</v>
      </c>
      <c r="E289">
        <f t="shared" si="38"/>
        <v>24.904912028465759</v>
      </c>
      <c r="F289">
        <f t="shared" si="43"/>
        <v>7.5310515733818297</v>
      </c>
      <c r="G289">
        <f t="shared" si="44"/>
        <v>34.091681817126641</v>
      </c>
      <c r="H289">
        <f t="shared" si="39"/>
        <v>72.374644235480019</v>
      </c>
      <c r="J289">
        <f t="shared" si="40"/>
        <v>0.75310515733818295</v>
      </c>
      <c r="K289">
        <f t="shared" si="41"/>
        <v>3.4091681817126642</v>
      </c>
      <c r="L289">
        <v>0</v>
      </c>
    </row>
    <row r="290" spans="1:12" x14ac:dyDescent="0.4">
      <c r="A290">
        <v>278</v>
      </c>
      <c r="B290">
        <f t="shared" si="36"/>
        <v>12.400801603206412</v>
      </c>
      <c r="C290">
        <f t="shared" si="37"/>
        <v>0.21474899139211495</v>
      </c>
      <c r="D290">
        <f t="shared" si="42"/>
        <v>117.93386371942282</v>
      </c>
      <c r="E290">
        <f t="shared" si="38"/>
        <v>24.832667338685383</v>
      </c>
      <c r="F290">
        <f t="shared" si="43"/>
        <v>7.4920620622251395</v>
      </c>
      <c r="G290">
        <f t="shared" si="44"/>
        <v>34.073579425619904</v>
      </c>
      <c r="H290">
        <f t="shared" si="39"/>
        <v>71.753982880011435</v>
      </c>
      <c r="J290">
        <f t="shared" si="40"/>
        <v>0.74920620622251399</v>
      </c>
      <c r="K290">
        <f t="shared" si="41"/>
        <v>3.4073579425619904</v>
      </c>
      <c r="L290">
        <v>0</v>
      </c>
    </row>
    <row r="291" spans="1:12" x14ac:dyDescent="0.4">
      <c r="A291">
        <v>279</v>
      </c>
      <c r="B291">
        <f t="shared" si="36"/>
        <v>12.344689378757515</v>
      </c>
      <c r="C291">
        <f t="shared" si="37"/>
        <v>0.21379239427831356</v>
      </c>
      <c r="D291">
        <f t="shared" si="42"/>
        <v>118.13518821209553</v>
      </c>
      <c r="E291">
        <f t="shared" si="38"/>
        <v>24.760061204573475</v>
      </c>
      <c r="F291">
        <f t="shared" si="43"/>
        <v>7.4531452188989364</v>
      </c>
      <c r="G291">
        <f t="shared" si="44"/>
        <v>34.055570386495212</v>
      </c>
      <c r="H291">
        <f t="shared" si="39"/>
        <v>71.139393666297693</v>
      </c>
      <c r="J291">
        <f t="shared" si="40"/>
        <v>0.74531452188989367</v>
      </c>
      <c r="K291">
        <f t="shared" si="41"/>
        <v>3.4055570386495213</v>
      </c>
      <c r="L291">
        <v>0</v>
      </c>
    </row>
    <row r="292" spans="1:12" x14ac:dyDescent="0.4">
      <c r="A292">
        <v>280</v>
      </c>
      <c r="B292">
        <f t="shared" si="36"/>
        <v>12.288577154308618</v>
      </c>
      <c r="C292">
        <f t="shared" si="37"/>
        <v>0.21283559211349745</v>
      </c>
      <c r="D292">
        <f t="shared" si="42"/>
        <v>118.33723559343136</v>
      </c>
      <c r="E292">
        <f t="shared" si="38"/>
        <v>24.687093626130007</v>
      </c>
      <c r="F292">
        <f t="shared" si="43"/>
        <v>7.4143006132537987</v>
      </c>
      <c r="G292">
        <f t="shared" si="44"/>
        <v>34.037654506505504</v>
      </c>
      <c r="H292">
        <f t="shared" si="39"/>
        <v>70.530785173717931</v>
      </c>
      <c r="J292">
        <f t="shared" si="40"/>
        <v>0.74143006132537992</v>
      </c>
      <c r="K292">
        <f t="shared" si="41"/>
        <v>3.4037654506505506</v>
      </c>
      <c r="L292">
        <v>0</v>
      </c>
    </row>
    <row r="293" spans="1:12" x14ac:dyDescent="0.4">
      <c r="A293">
        <v>281</v>
      </c>
      <c r="B293">
        <f t="shared" si="36"/>
        <v>12.23246492985972</v>
      </c>
      <c r="C293">
        <f t="shared" si="37"/>
        <v>0.21187858581534769</v>
      </c>
      <c r="D293">
        <f t="shared" si="42"/>
        <v>118.54000586343025</v>
      </c>
      <c r="E293">
        <f t="shared" si="38"/>
        <v>24.613764603355008</v>
      </c>
      <c r="F293">
        <f t="shared" si="43"/>
        <v>7.3755278166074865</v>
      </c>
      <c r="G293">
        <f t="shared" si="44"/>
        <v>34.019831593063259</v>
      </c>
      <c r="H293">
        <f t="shared" si="39"/>
        <v>69.928067610634329</v>
      </c>
      <c r="J293">
        <f t="shared" si="40"/>
        <v>0.73755278166074867</v>
      </c>
      <c r="K293">
        <f t="shared" si="41"/>
        <v>3.4019831593063259</v>
      </c>
      <c r="L293">
        <v>0</v>
      </c>
    </row>
    <row r="294" spans="1:12" x14ac:dyDescent="0.4">
      <c r="A294">
        <v>282</v>
      </c>
      <c r="B294">
        <f t="shared" si="36"/>
        <v>12.176352705410821</v>
      </c>
      <c r="C294">
        <f t="shared" si="37"/>
        <v>0.21092137630174129</v>
      </c>
      <c r="D294">
        <f t="shared" si="42"/>
        <v>118.74349902209229</v>
      </c>
      <c r="E294">
        <f t="shared" si="38"/>
        <v>24.54007413624845</v>
      </c>
      <c r="F294">
        <f t="shared" si="43"/>
        <v>7.3368264017401499</v>
      </c>
      <c r="G294">
        <f t="shared" si="44"/>
        <v>34.002101454252703</v>
      </c>
      <c r="H294">
        <f t="shared" si="39"/>
        <v>69.331152779170395</v>
      </c>
      <c r="J294">
        <f t="shared" si="40"/>
        <v>0.73368264017401497</v>
      </c>
      <c r="K294">
        <f t="shared" si="41"/>
        <v>3.4002101454252704</v>
      </c>
      <c r="L294">
        <v>0</v>
      </c>
    </row>
    <row r="295" spans="1:12" x14ac:dyDescent="0.4">
      <c r="A295">
        <v>283</v>
      </c>
      <c r="B295">
        <f t="shared" si="36"/>
        <v>12.120240480961924</v>
      </c>
      <c r="C295">
        <f t="shared" si="37"/>
        <v>0.20996396449075011</v>
      </c>
      <c r="D295">
        <f t="shared" si="42"/>
        <v>118.94771506941738</v>
      </c>
      <c r="E295">
        <f t="shared" si="38"/>
        <v>24.466022224810345</v>
      </c>
      <c r="F295">
        <f t="shared" si="43"/>
        <v>7.2981959428896008</v>
      </c>
      <c r="G295">
        <f t="shared" si="44"/>
        <v>33.984463898842023</v>
      </c>
      <c r="H295">
        <f t="shared" si="39"/>
        <v>68.739954040864163</v>
      </c>
      <c r="J295">
        <f t="shared" si="40"/>
        <v>0.72981959428896004</v>
      </c>
      <c r="K295">
        <f t="shared" si="41"/>
        <v>3.3984463898842021</v>
      </c>
      <c r="L295">
        <v>0</v>
      </c>
    </row>
    <row r="296" spans="1:12" x14ac:dyDescent="0.4">
      <c r="A296">
        <v>284</v>
      </c>
      <c r="B296">
        <f t="shared" si="36"/>
        <v>12.064128256513026</v>
      </c>
      <c r="C296">
        <f t="shared" si="37"/>
        <v>0.20900635130064005</v>
      </c>
      <c r="D296">
        <f t="shared" si="42"/>
        <v>119.15265400540561</v>
      </c>
      <c r="E296">
        <f t="shared" si="38"/>
        <v>24.391608869040681</v>
      </c>
      <c r="F296">
        <f t="shared" si="43"/>
        <v>7.2596360157464437</v>
      </c>
      <c r="G296">
        <f t="shared" si="44"/>
        <v>33.966918736295341</v>
      </c>
      <c r="H296">
        <f t="shared" si="39"/>
        <v>68.154386283167455</v>
      </c>
      <c r="J296">
        <f t="shared" si="40"/>
        <v>0.72596360157464435</v>
      </c>
      <c r="K296">
        <f t="shared" si="41"/>
        <v>3.3966918736295342</v>
      </c>
      <c r="L296">
        <v>0</v>
      </c>
    </row>
    <row r="297" spans="1:12" x14ac:dyDescent="0.4">
      <c r="A297">
        <v>285</v>
      </c>
      <c r="B297">
        <f t="shared" si="36"/>
        <v>12.008016032064129</v>
      </c>
      <c r="C297">
        <f t="shared" si="37"/>
        <v>0.20804853764987014</v>
      </c>
      <c r="D297">
        <f t="shared" si="42"/>
        <v>119.3583158300569</v>
      </c>
      <c r="E297">
        <f t="shared" si="38"/>
        <v>24.316834068939485</v>
      </c>
      <c r="F297">
        <f t="shared" si="43"/>
        <v>7.2211461974490989</v>
      </c>
      <c r="G297">
        <f t="shared" si="44"/>
        <v>33.949465776784649</v>
      </c>
      <c r="H297">
        <f t="shared" si="39"/>
        <v>67.574365886772711</v>
      </c>
      <c r="J297">
        <f t="shared" si="40"/>
        <v>0.72211461974490987</v>
      </c>
      <c r="K297">
        <f t="shared" si="41"/>
        <v>3.3949465776784651</v>
      </c>
      <c r="L297">
        <v>0</v>
      </c>
    </row>
    <row r="298" spans="1:12" x14ac:dyDescent="0.4">
      <c r="A298">
        <v>286</v>
      </c>
      <c r="B298">
        <f t="shared" si="36"/>
        <v>11.951903807615231</v>
      </c>
      <c r="C298">
        <f t="shared" si="37"/>
        <v>0.20709052445709164</v>
      </c>
      <c r="D298">
        <f t="shared" si="42"/>
        <v>119.56470054337132</v>
      </c>
      <c r="E298">
        <f t="shared" si="38"/>
        <v>24.24169782450673</v>
      </c>
      <c r="F298">
        <f t="shared" si="43"/>
        <v>7.1827260665788399</v>
      </c>
      <c r="G298">
        <f t="shared" si="44"/>
        <v>33.932104831201599</v>
      </c>
      <c r="H298">
        <f t="shared" si="39"/>
        <v>66.999810693737643</v>
      </c>
      <c r="J298">
        <f t="shared" si="40"/>
        <v>0.71827260665788395</v>
      </c>
      <c r="K298">
        <f t="shared" si="41"/>
        <v>3.3932104831201597</v>
      </c>
      <c r="L298">
        <v>0</v>
      </c>
    </row>
    <row r="299" spans="1:12" x14ac:dyDescent="0.4">
      <c r="A299">
        <v>287</v>
      </c>
      <c r="B299">
        <f t="shared" si="36"/>
        <v>11.895791583166332</v>
      </c>
      <c r="C299">
        <f t="shared" si="37"/>
        <v>0.20613231264114726</v>
      </c>
      <c r="D299">
        <f t="shared" si="42"/>
        <v>119.77180814534881</v>
      </c>
      <c r="E299">
        <f t="shared" si="38"/>
        <v>24.166200135742429</v>
      </c>
      <c r="F299">
        <f t="shared" si="43"/>
        <v>7.1443752031546905</v>
      </c>
      <c r="G299">
        <f t="shared" si="44"/>
        <v>33.914835711169147</v>
      </c>
      <c r="H299">
        <f t="shared" si="39"/>
        <v>66.430639976392285</v>
      </c>
      <c r="J299">
        <f t="shared" si="40"/>
        <v>0.71443752031546903</v>
      </c>
      <c r="K299">
        <f t="shared" si="41"/>
        <v>3.3914835711169147</v>
      </c>
      <c r="L299">
        <v>0</v>
      </c>
    </row>
    <row r="300" spans="1:12" x14ac:dyDescent="0.4">
      <c r="A300">
        <v>288</v>
      </c>
      <c r="B300">
        <f t="shared" si="36"/>
        <v>11.839679358717433</v>
      </c>
      <c r="C300">
        <f t="shared" si="37"/>
        <v>0.2051739031210702</v>
      </c>
      <c r="D300">
        <f t="shared" si="42"/>
        <v>119.97963863598942</v>
      </c>
      <c r="E300">
        <f t="shared" si="38"/>
        <v>24.090341002646568</v>
      </c>
      <c r="F300">
        <f t="shared" si="43"/>
        <v>7.1060931886282148</v>
      </c>
      <c r="G300">
        <f t="shared" si="44"/>
        <v>33.897658229053064</v>
      </c>
      <c r="H300">
        <f t="shared" si="39"/>
        <v>65.86677440699998</v>
      </c>
      <c r="J300">
        <f t="shared" si="40"/>
        <v>0.71060931886282153</v>
      </c>
      <c r="K300">
        <f t="shared" si="41"/>
        <v>3.3897658229053063</v>
      </c>
      <c r="L300">
        <v>0</v>
      </c>
    </row>
    <row r="301" spans="1:12" x14ac:dyDescent="0.4">
      <c r="A301">
        <v>289</v>
      </c>
      <c r="B301">
        <f t="shared" si="36"/>
        <v>11.783567134268537</v>
      </c>
      <c r="C301">
        <f t="shared" si="37"/>
        <v>0.2042152968160833</v>
      </c>
      <c r="D301">
        <f t="shared" si="42"/>
        <v>120.18819201529311</v>
      </c>
      <c r="E301">
        <f t="shared" si="38"/>
        <v>24.014120425219176</v>
      </c>
      <c r="F301">
        <f t="shared" si="43"/>
        <v>7.0678796058783266</v>
      </c>
      <c r="G301">
        <f t="shared" si="44"/>
        <v>33.8805721979734</v>
      </c>
      <c r="H301">
        <f t="shared" si="39"/>
        <v>65.308136028156454</v>
      </c>
      <c r="J301">
        <f t="shared" si="40"/>
        <v>0.70678796058783266</v>
      </c>
      <c r="K301">
        <f t="shared" si="41"/>
        <v>3.3880572197973402</v>
      </c>
      <c r="L301">
        <v>0</v>
      </c>
    </row>
    <row r="302" spans="1:12" x14ac:dyDescent="0.4">
      <c r="A302">
        <v>290</v>
      </c>
      <c r="B302">
        <f t="shared" si="36"/>
        <v>11.727454909819638</v>
      </c>
      <c r="C302">
        <f t="shared" si="37"/>
        <v>0.203256494645598</v>
      </c>
      <c r="D302">
        <f t="shared" si="42"/>
        <v>120.39746828325991</v>
      </c>
      <c r="E302">
        <f t="shared" si="38"/>
        <v>23.937538403460223</v>
      </c>
      <c r="F302">
        <f t="shared" si="43"/>
        <v>7.029734039205926</v>
      </c>
      <c r="G302">
        <f t="shared" si="44"/>
        <v>33.863577431815749</v>
      </c>
      <c r="H302">
        <f t="shared" si="39"/>
        <v>64.75464822390299</v>
      </c>
      <c r="J302">
        <f t="shared" si="40"/>
        <v>0.7029734039205926</v>
      </c>
      <c r="K302">
        <f t="shared" si="41"/>
        <v>3.3863577431815748</v>
      </c>
      <c r="L302">
        <v>0</v>
      </c>
    </row>
    <row r="303" spans="1:12" x14ac:dyDescent="0.4">
      <c r="A303">
        <v>291</v>
      </c>
      <c r="B303">
        <f t="shared" si="36"/>
        <v>11.671342685370742</v>
      </c>
      <c r="C303">
        <f t="shared" si="37"/>
        <v>0.20229749752921386</v>
      </c>
      <c r="D303">
        <f t="shared" si="42"/>
        <v>120.60746743988979</v>
      </c>
      <c r="E303">
        <f t="shared" si="38"/>
        <v>23.86059493736974</v>
      </c>
      <c r="F303">
        <f t="shared" si="43"/>
        <v>6.9916560743285663</v>
      </c>
      <c r="G303">
        <f t="shared" si="44"/>
        <v>33.846673745242448</v>
      </c>
      <c r="H303">
        <f t="shared" si="39"/>
        <v>64.206235691536449</v>
      </c>
      <c r="J303">
        <f t="shared" si="40"/>
        <v>0.69916560743285661</v>
      </c>
      <c r="K303">
        <f t="shared" si="41"/>
        <v>3.3846673745242448</v>
      </c>
      <c r="L303">
        <v>0</v>
      </c>
    </row>
    <row r="304" spans="1:12" x14ac:dyDescent="0.4">
      <c r="A304">
        <v>292</v>
      </c>
      <c r="B304">
        <f t="shared" si="36"/>
        <v>11.615230460921843</v>
      </c>
      <c r="C304">
        <f t="shared" si="37"/>
        <v>0.2013383063867171</v>
      </c>
      <c r="D304">
        <f t="shared" si="42"/>
        <v>120.81818948518278</v>
      </c>
      <c r="E304">
        <f t="shared" si="38"/>
        <v>23.783290026947682</v>
      </c>
      <c r="F304">
        <f t="shared" si="43"/>
        <v>6.9536452983749699</v>
      </c>
      <c r="G304">
        <f t="shared" si="44"/>
        <v>33.829860953703644</v>
      </c>
      <c r="H304">
        <f t="shared" si="39"/>
        <v>63.662824414094622</v>
      </c>
      <c r="J304">
        <f t="shared" si="40"/>
        <v>0.69536452983749697</v>
      </c>
      <c r="K304">
        <f t="shared" si="41"/>
        <v>3.3829860953703643</v>
      </c>
      <c r="L304">
        <v>0</v>
      </c>
    </row>
    <row r="305" spans="1:12" x14ac:dyDescent="0.4">
      <c r="A305">
        <v>293</v>
      </c>
      <c r="B305">
        <f t="shared" si="36"/>
        <v>11.559118236472944</v>
      </c>
      <c r="C305">
        <f t="shared" si="37"/>
        <v>0.20037892213808023</v>
      </c>
      <c r="D305">
        <f t="shared" si="42"/>
        <v>121.02963441913889</v>
      </c>
      <c r="E305">
        <f t="shared" si="38"/>
        <v>23.705623672194079</v>
      </c>
      <c r="F305">
        <f t="shared" si="43"/>
        <v>6.9157012998795029</v>
      </c>
      <c r="G305">
        <f t="shared" si="44"/>
        <v>33.81313887344826</v>
      </c>
      <c r="H305">
        <f t="shared" si="39"/>
        <v>63.124341633500812</v>
      </c>
      <c r="J305">
        <f t="shared" si="40"/>
        <v>0.69157012998795031</v>
      </c>
      <c r="K305">
        <f t="shared" si="41"/>
        <v>3.3813138873448261</v>
      </c>
      <c r="L305">
        <v>0</v>
      </c>
    </row>
    <row r="306" spans="1:12" x14ac:dyDescent="0.4">
      <c r="A306">
        <v>294</v>
      </c>
      <c r="B306">
        <f t="shared" si="36"/>
        <v>11.503006012024048</v>
      </c>
      <c r="C306">
        <f t="shared" si="37"/>
        <v>0.19941934570346104</v>
      </c>
      <c r="D306">
        <f t="shared" si="42"/>
        <v>121.24180224175805</v>
      </c>
      <c r="E306">
        <f t="shared" si="38"/>
        <v>23.627595873108945</v>
      </c>
      <c r="F306">
        <f t="shared" si="43"/>
        <v>6.8778236687766245</v>
      </c>
      <c r="G306">
        <f t="shared" si="44"/>
        <v>33.796507321534861</v>
      </c>
      <c r="H306">
        <f t="shared" si="39"/>
        <v>62.590715824346944</v>
      </c>
      <c r="J306">
        <f t="shared" si="40"/>
        <v>0.68778236687766248</v>
      </c>
      <c r="K306">
        <f t="shared" si="41"/>
        <v>3.3796507321534861</v>
      </c>
      <c r="L306">
        <v>0</v>
      </c>
    </row>
    <row r="307" spans="1:12" x14ac:dyDescent="0.4">
      <c r="A307">
        <v>295</v>
      </c>
      <c r="B307">
        <f t="shared" si="36"/>
        <v>11.446893787575149</v>
      </c>
      <c r="C307">
        <f t="shared" si="37"/>
        <v>0.19845957800320138</v>
      </c>
      <c r="D307">
        <f t="shared" si="42"/>
        <v>121.45469295304035</v>
      </c>
      <c r="E307">
        <f t="shared" si="38"/>
        <v>23.54920662969225</v>
      </c>
      <c r="F307">
        <f t="shared" si="43"/>
        <v>6.84001199639515</v>
      </c>
      <c r="G307">
        <f t="shared" si="44"/>
        <v>33.77996611584237</v>
      </c>
      <c r="H307">
        <f t="shared" si="39"/>
        <v>62.061876668299632</v>
      </c>
      <c r="J307">
        <f t="shared" si="40"/>
        <v>0.684001199639515</v>
      </c>
      <c r="K307">
        <f t="shared" si="41"/>
        <v>3.377996611584237</v>
      </c>
      <c r="L307">
        <v>0</v>
      </c>
    </row>
    <row r="308" spans="1:12" x14ac:dyDescent="0.4">
      <c r="A308">
        <v>296</v>
      </c>
      <c r="B308">
        <f t="shared" si="36"/>
        <v>11.390781563126254</v>
      </c>
      <c r="C308">
        <f t="shared" si="37"/>
        <v>0.19749961995782686</v>
      </c>
      <c r="D308">
        <f t="shared" si="42"/>
        <v>121.66830655298574</v>
      </c>
      <c r="E308">
        <f t="shared" si="38"/>
        <v>23.47045594194401</v>
      </c>
      <c r="F308">
        <f t="shared" si="43"/>
        <v>6.8022658754526057</v>
      </c>
      <c r="G308">
        <f t="shared" si="44"/>
        <v>33.763515075080718</v>
      </c>
      <c r="H308">
        <f t="shared" si="39"/>
        <v>61.537755029112148</v>
      </c>
      <c r="J308">
        <f t="shared" si="40"/>
        <v>0.68022658754526055</v>
      </c>
      <c r="K308">
        <f t="shared" si="41"/>
        <v>3.3763515075080717</v>
      </c>
      <c r="L308">
        <v>0</v>
      </c>
    </row>
    <row r="309" spans="1:12" x14ac:dyDescent="0.4">
      <c r="A309">
        <v>297</v>
      </c>
      <c r="B309">
        <f t="shared" si="36"/>
        <v>11.334669338677354</v>
      </c>
      <c r="C309">
        <f t="shared" si="37"/>
        <v>0.19653947248804532</v>
      </c>
      <c r="D309">
        <f t="shared" si="42"/>
        <v>121.88264304159421</v>
      </c>
      <c r="E309">
        <f t="shared" si="38"/>
        <v>23.391343809864225</v>
      </c>
      <c r="F309">
        <f t="shared" si="43"/>
        <v>6.7645849000494049</v>
      </c>
      <c r="G309">
        <f t="shared" si="44"/>
        <v>33.747154018801396</v>
      </c>
      <c r="H309">
        <f t="shared" si="39"/>
        <v>61.018282928224352</v>
      </c>
      <c r="J309">
        <f t="shared" si="40"/>
        <v>0.67645849000494052</v>
      </c>
      <c r="K309">
        <f t="shared" si="41"/>
        <v>3.3747154018801395</v>
      </c>
      <c r="L309">
        <v>0</v>
      </c>
    </row>
    <row r="310" spans="1:12" x14ac:dyDescent="0.4">
      <c r="A310">
        <v>298</v>
      </c>
      <c r="B310">
        <f t="shared" si="36"/>
        <v>11.278557114228455</v>
      </c>
      <c r="C310">
        <f t="shared" si="37"/>
        <v>0.19557913651474659</v>
      </c>
      <c r="D310">
        <f t="shared" si="42"/>
        <v>122.09770241886579</v>
      </c>
      <c r="E310">
        <f t="shared" si="38"/>
        <v>23.311870233452879</v>
      </c>
      <c r="F310">
        <f t="shared" si="43"/>
        <v>6.7269686656629943</v>
      </c>
      <c r="G310">
        <f t="shared" si="44"/>
        <v>33.730882767407856</v>
      </c>
      <c r="H310">
        <f t="shared" si="39"/>
        <v>60.5033935209361</v>
      </c>
      <c r="J310">
        <f t="shared" si="40"/>
        <v>0.67269686656629946</v>
      </c>
      <c r="K310">
        <f t="shared" si="41"/>
        <v>3.3730882767407855</v>
      </c>
      <c r="L310">
        <v>0</v>
      </c>
    </row>
    <row r="311" spans="1:12" x14ac:dyDescent="0.4">
      <c r="A311">
        <v>299</v>
      </c>
      <c r="B311">
        <f t="shared" si="36"/>
        <v>11.22244488977956</v>
      </c>
      <c r="C311">
        <f t="shared" si="37"/>
        <v>0.19461861295900121</v>
      </c>
      <c r="D311">
        <f t="shared" si="42"/>
        <v>122.31348468480046</v>
      </c>
      <c r="E311">
        <f t="shared" si="38"/>
        <v>23.232035212709988</v>
      </c>
      <c r="F311">
        <f t="shared" si="43"/>
        <v>6.6894167691419764</v>
      </c>
      <c r="G311">
        <f t="shared" si="44"/>
        <v>33.714701142165865</v>
      </c>
      <c r="H311">
        <f t="shared" si="39"/>
        <v>59.993021073138827</v>
      </c>
      <c r="J311">
        <f t="shared" si="40"/>
        <v>0.66894167691419759</v>
      </c>
      <c r="K311">
        <f t="shared" si="41"/>
        <v>3.3714701142165864</v>
      </c>
      <c r="L311">
        <v>0</v>
      </c>
    </row>
    <row r="312" spans="1:12" x14ac:dyDescent="0.4">
      <c r="A312">
        <v>300</v>
      </c>
      <c r="B312">
        <f t="shared" si="36"/>
        <v>11.16633266533066</v>
      </c>
      <c r="C312">
        <f t="shared" si="37"/>
        <v>0.19365790274205938</v>
      </c>
      <c r="D312">
        <f t="shared" si="42"/>
        <v>122.52998983939824</v>
      </c>
      <c r="E312">
        <f t="shared" si="38"/>
        <v>23.151838747635551</v>
      </c>
      <c r="F312">
        <f t="shared" si="43"/>
        <v>6.6519288087000907</v>
      </c>
      <c r="G312">
        <f t="shared" si="44"/>
        <v>33.698608965213758</v>
      </c>
      <c r="H312">
        <f t="shared" si="39"/>
        <v>59.487100938588561</v>
      </c>
      <c r="J312">
        <f t="shared" si="40"/>
        <v>0.66519288087000905</v>
      </c>
      <c r="K312">
        <f t="shared" si="41"/>
        <v>3.3698608965213759</v>
      </c>
      <c r="L312">
        <v>0</v>
      </c>
    </row>
    <row r="313" spans="1:12" x14ac:dyDescent="0.4">
      <c r="A313">
        <v>301</v>
      </c>
      <c r="B313">
        <f t="shared" si="36"/>
        <v>11.110220440881765</v>
      </c>
      <c r="C313">
        <f t="shared" si="37"/>
        <v>0.19269700678535073</v>
      </c>
      <c r="D313">
        <f t="shared" si="42"/>
        <v>122.7472178826591</v>
      </c>
      <c r="E313">
        <f t="shared" si="38"/>
        <v>23.071280838229569</v>
      </c>
      <c r="F313">
        <f t="shared" si="43"/>
        <v>6.6145043839101785</v>
      </c>
      <c r="G313">
        <f t="shared" si="44"/>
        <v>33.682606059572514</v>
      </c>
      <c r="H313">
        <f t="shared" si="39"/>
        <v>58.985569536707843</v>
      </c>
      <c r="J313">
        <f t="shared" si="40"/>
        <v>0.6614504383910178</v>
      </c>
      <c r="K313">
        <f t="shared" si="41"/>
        <v>3.3682606059572513</v>
      </c>
      <c r="L313">
        <v>0</v>
      </c>
    </row>
    <row r="314" spans="1:12" x14ac:dyDescent="0.4">
      <c r="A314">
        <v>302</v>
      </c>
      <c r="B314">
        <f t="shared" si="36"/>
        <v>11.054108216432866</v>
      </c>
      <c r="C314">
        <f t="shared" si="37"/>
        <v>0.19173592601048273</v>
      </c>
      <c r="D314">
        <f t="shared" si="42"/>
        <v>122.96516881458307</v>
      </c>
      <c r="E314">
        <f t="shared" si="38"/>
        <v>22.990361484492041</v>
      </c>
      <c r="F314">
        <f t="shared" si="43"/>
        <v>6.5771430956981343</v>
      </c>
      <c r="G314">
        <f t="shared" si="44"/>
        <v>33.666692249155844</v>
      </c>
      <c r="H314">
        <f t="shared" si="39"/>
        <v>58.488364330900886</v>
      </c>
      <c r="J314">
        <f t="shared" si="40"/>
        <v>0.65771430956981347</v>
      </c>
      <c r="K314">
        <f t="shared" si="41"/>
        <v>3.3666692249155843</v>
      </c>
      <c r="L314">
        <v>0</v>
      </c>
    </row>
    <row r="315" spans="1:12" x14ac:dyDescent="0.4">
      <c r="A315">
        <v>303</v>
      </c>
      <c r="B315">
        <f t="shared" si="36"/>
        <v>10.997995991983966</v>
      </c>
      <c r="C315">
        <f t="shared" si="37"/>
        <v>0.19077466133924023</v>
      </c>
      <c r="D315">
        <f t="shared" si="42"/>
        <v>123.18384263517015</v>
      </c>
      <c r="E315">
        <f t="shared" si="38"/>
        <v>22.909080686422939</v>
      </c>
      <c r="F315">
        <f t="shared" si="43"/>
        <v>6.5398445463367167</v>
      </c>
      <c r="G315">
        <f t="shared" si="44"/>
        <v>33.650867358780154</v>
      </c>
      <c r="H315">
        <f t="shared" si="39"/>
        <v>57.995423807369598</v>
      </c>
      <c r="J315">
        <f t="shared" si="40"/>
        <v>0.65398445463367172</v>
      </c>
      <c r="K315">
        <f t="shared" si="41"/>
        <v>3.3650867358780152</v>
      </c>
      <c r="L315">
        <v>0</v>
      </c>
    </row>
    <row r="316" spans="1:12" x14ac:dyDescent="0.4">
      <c r="A316">
        <v>304</v>
      </c>
      <c r="B316">
        <f t="shared" si="36"/>
        <v>10.941883767535071</v>
      </c>
      <c r="C316">
        <f t="shared" si="37"/>
        <v>0.18981321369358453</v>
      </c>
      <c r="D316">
        <f t="shared" si="42"/>
        <v>123.40323934442029</v>
      </c>
      <c r="E316">
        <f t="shared" si="38"/>
        <v>22.82743844402232</v>
      </c>
      <c r="F316">
        <f t="shared" si="43"/>
        <v>6.5026083394393552</v>
      </c>
      <c r="G316">
        <f t="shared" si="44"/>
        <v>33.635131214174351</v>
      </c>
      <c r="H316">
        <f t="shared" si="39"/>
        <v>57.506687454416095</v>
      </c>
      <c r="J316">
        <f t="shared" si="40"/>
        <v>0.65026083394393552</v>
      </c>
      <c r="K316">
        <f t="shared" si="41"/>
        <v>3.363513121417435</v>
      </c>
      <c r="L316">
        <v>0</v>
      </c>
    </row>
    <row r="317" spans="1:12" x14ac:dyDescent="0.4">
      <c r="A317">
        <v>305</v>
      </c>
      <c r="B317">
        <f t="shared" si="36"/>
        <v>10.885771543086172</v>
      </c>
      <c r="C317">
        <f t="shared" si="37"/>
        <v>0.18885158399565224</v>
      </c>
      <c r="D317">
        <f t="shared" si="42"/>
        <v>123.62335894233357</v>
      </c>
      <c r="E317">
        <f t="shared" si="38"/>
        <v>22.745434757290127</v>
      </c>
      <c r="F317">
        <f t="shared" si="43"/>
        <v>6.4654340799538517</v>
      </c>
      <c r="G317">
        <f t="shared" si="44"/>
        <v>33.619483641989653</v>
      </c>
      <c r="H317">
        <f t="shared" si="39"/>
        <v>57.022095742218809</v>
      </c>
      <c r="J317">
        <f t="shared" si="40"/>
        <v>0.64654340799538512</v>
      </c>
      <c r="K317">
        <f t="shared" si="41"/>
        <v>3.3619483641989651</v>
      </c>
      <c r="L317">
        <v>0</v>
      </c>
    </row>
    <row r="318" spans="1:12" x14ac:dyDescent="0.4">
      <c r="A318">
        <v>306</v>
      </c>
      <c r="B318">
        <f t="shared" si="36"/>
        <v>10.829659318637276</v>
      </c>
      <c r="C318">
        <f t="shared" si="37"/>
        <v>0.18788977316775482</v>
      </c>
      <c r="D318">
        <f t="shared" si="42"/>
        <v>123.84420142890991</v>
      </c>
      <c r="E318">
        <f t="shared" si="38"/>
        <v>22.663069626226402</v>
      </c>
      <c r="F318">
        <f t="shared" si="43"/>
        <v>6.4283213741561065</v>
      </c>
      <c r="G318">
        <f t="shared" si="44"/>
        <v>33.603924469809257</v>
      </c>
      <c r="H318">
        <f t="shared" si="39"/>
        <v>56.541590103071364</v>
      </c>
      <c r="J318">
        <f t="shared" si="40"/>
        <v>0.64283213741561063</v>
      </c>
      <c r="K318">
        <f t="shared" si="41"/>
        <v>3.3603924469809257</v>
      </c>
      <c r="L318">
        <v>0</v>
      </c>
    </row>
    <row r="319" spans="1:12" x14ac:dyDescent="0.4">
      <c r="A319">
        <v>307</v>
      </c>
      <c r="B319">
        <f t="shared" si="36"/>
        <v>10.773547094188377</v>
      </c>
      <c r="C319">
        <f t="shared" si="37"/>
        <v>0.1869277821323771</v>
      </c>
      <c r="D319">
        <f t="shared" si="42"/>
        <v>124.06576680414938</v>
      </c>
      <c r="E319">
        <f t="shared" si="38"/>
        <v>22.580343050831118</v>
      </c>
      <c r="F319">
        <f t="shared" si="43"/>
        <v>6.3912698296437034</v>
      </c>
      <c r="G319">
        <f t="shared" si="44"/>
        <v>33.588453526157913</v>
      </c>
      <c r="H319">
        <f t="shared" si="39"/>
        <v>56.065112912069218</v>
      </c>
      <c r="J319">
        <f t="shared" si="40"/>
        <v>0.63912698296437032</v>
      </c>
      <c r="K319">
        <f t="shared" si="41"/>
        <v>3.3588453526157913</v>
      </c>
      <c r="L319">
        <v>0</v>
      </c>
    </row>
    <row r="320" spans="1:12" x14ac:dyDescent="0.4">
      <c r="A320">
        <v>308</v>
      </c>
      <c r="B320">
        <f t="shared" si="36"/>
        <v>10.717434869739478</v>
      </c>
      <c r="C320">
        <f t="shared" si="37"/>
        <v>0.18596561181217711</v>
      </c>
      <c r="D320">
        <f t="shared" si="42"/>
        <v>124.28805506805193</v>
      </c>
      <c r="E320">
        <f t="shared" si="38"/>
        <v>22.497255031104288</v>
      </c>
      <c r="F320">
        <f t="shared" si="43"/>
        <v>6.354279055329517</v>
      </c>
      <c r="G320">
        <f t="shared" si="44"/>
        <v>33.573070640511496</v>
      </c>
      <c r="H320">
        <f t="shared" si="39"/>
        <v>55.592607468235087</v>
      </c>
      <c r="J320">
        <f t="shared" si="40"/>
        <v>0.6354279055329517</v>
      </c>
      <c r="K320">
        <f t="shared" si="41"/>
        <v>3.3573070640511498</v>
      </c>
      <c r="L320">
        <v>0</v>
      </c>
    </row>
    <row r="321" spans="1:12" x14ac:dyDescent="0.4">
      <c r="A321">
        <v>309</v>
      </c>
      <c r="B321">
        <f t="shared" si="36"/>
        <v>10.661322645290582</v>
      </c>
      <c r="C321">
        <f t="shared" si="37"/>
        <v>0.18500326312998472</v>
      </c>
      <c r="D321">
        <f t="shared" si="42"/>
        <v>124.51106622061758</v>
      </c>
      <c r="E321">
        <f t="shared" si="38"/>
        <v>22.413805567045927</v>
      </c>
      <c r="F321">
        <f t="shared" si="43"/>
        <v>6.3173486614351884</v>
      </c>
      <c r="G321">
        <f t="shared" si="44"/>
        <v>33.55777564330635</v>
      </c>
      <c r="H321">
        <f t="shared" si="39"/>
        <v>55.124017976069631</v>
      </c>
      <c r="J321">
        <f t="shared" si="40"/>
        <v>0.63173486614351881</v>
      </c>
      <c r="K321">
        <f t="shared" si="41"/>
        <v>3.3557775643306349</v>
      </c>
      <c r="L321">
        <v>0</v>
      </c>
    </row>
    <row r="322" spans="1:12" x14ac:dyDescent="0.4">
      <c r="A322">
        <v>310</v>
      </c>
      <c r="B322">
        <f t="shared" si="36"/>
        <v>10.605210420841683</v>
      </c>
      <c r="C322">
        <f t="shared" si="37"/>
        <v>0.18404073700880072</v>
      </c>
      <c r="D322">
        <f t="shared" si="42"/>
        <v>124.73480026184635</v>
      </c>
      <c r="E322">
        <f t="shared" si="38"/>
        <v>22.329994658655991</v>
      </c>
      <c r="F322">
        <f t="shared" si="43"/>
        <v>6.2804782594845898</v>
      </c>
      <c r="G322">
        <f t="shared" si="44"/>
        <v>33.542568365948689</v>
      </c>
      <c r="H322">
        <f t="shared" si="39"/>
        <v>54.659289527517387</v>
      </c>
      <c r="J322">
        <f t="shared" si="40"/>
        <v>0.62804782594845898</v>
      </c>
      <c r="K322">
        <f t="shared" si="41"/>
        <v>3.3542568365948688</v>
      </c>
      <c r="L322">
        <v>0</v>
      </c>
    </row>
    <row r="323" spans="1:12" x14ac:dyDescent="0.4">
      <c r="A323">
        <v>311</v>
      </c>
      <c r="B323">
        <f t="shared" si="36"/>
        <v>10.549098196392784</v>
      </c>
      <c r="C323">
        <f t="shared" si="37"/>
        <v>0.18307803437179623</v>
      </c>
      <c r="D323">
        <f t="shared" si="42"/>
        <v>124.95925719173819</v>
      </c>
      <c r="E323">
        <f t="shared" si="38"/>
        <v>22.24582230593451</v>
      </c>
      <c r="F323">
        <f t="shared" si="43"/>
        <v>6.2436674622972701</v>
      </c>
      <c r="G323">
        <f t="shared" si="44"/>
        <v>33.527448640823849</v>
      </c>
      <c r="H323">
        <f t="shared" si="39"/>
        <v>54.198368084337105</v>
      </c>
      <c r="J323">
        <f t="shared" si="40"/>
        <v>0.62436674622972699</v>
      </c>
      <c r="K323">
        <f t="shared" si="41"/>
        <v>3.3527448640823847</v>
      </c>
      <c r="L323">
        <v>0</v>
      </c>
    </row>
    <row r="324" spans="1:12" x14ac:dyDescent="0.4">
      <c r="A324">
        <v>312</v>
      </c>
      <c r="B324">
        <f t="shared" si="36"/>
        <v>10.492985971943888</v>
      </c>
      <c r="C324">
        <f t="shared" si="37"/>
        <v>0.18211515614231177</v>
      </c>
      <c r="D324">
        <f t="shared" si="42"/>
        <v>125.18443701029312</v>
      </c>
      <c r="E324">
        <f t="shared" si="38"/>
        <v>22.161288508881498</v>
      </c>
      <c r="F324">
        <f t="shared" si="43"/>
        <v>6.2069158839818215</v>
      </c>
      <c r="G324">
        <f t="shared" si="44"/>
        <v>33.512416301305485</v>
      </c>
      <c r="H324">
        <f t="shared" si="39"/>
        <v>53.741200460865116</v>
      </c>
      <c r="J324">
        <f t="shared" si="40"/>
        <v>0.62069158839818217</v>
      </c>
      <c r="K324">
        <f t="shared" si="41"/>
        <v>3.3512416301305485</v>
      </c>
      <c r="L324">
        <v>0</v>
      </c>
    </row>
    <row r="325" spans="1:12" x14ac:dyDescent="0.4">
      <c r="A325">
        <v>313</v>
      </c>
      <c r="B325">
        <f t="shared" si="36"/>
        <v>10.436873747494989</v>
      </c>
      <c r="C325">
        <f t="shared" si="37"/>
        <v>0.18115210324385597</v>
      </c>
      <c r="D325">
        <f t="shared" si="42"/>
        <v>125.41033971751116</v>
      </c>
      <c r="E325">
        <f t="shared" si="38"/>
        <v>22.076393267496925</v>
      </c>
      <c r="F325">
        <f t="shared" si="43"/>
        <v>6.1702231399291456</v>
      </c>
      <c r="G325">
        <f t="shared" si="44"/>
        <v>33.497471181764695</v>
      </c>
      <c r="H325">
        <f t="shared" si="39"/>
        <v>53.287734307162935</v>
      </c>
      <c r="J325">
        <f t="shared" si="40"/>
        <v>0.61702231399291452</v>
      </c>
      <c r="K325">
        <f t="shared" si="41"/>
        <v>3.3497471181764693</v>
      </c>
      <c r="L325">
        <v>0</v>
      </c>
    </row>
    <row r="326" spans="1:12" x14ac:dyDescent="0.4">
      <c r="A326">
        <v>314</v>
      </c>
      <c r="B326">
        <f t="shared" si="36"/>
        <v>10.380761523046093</v>
      </c>
      <c r="C326">
        <f t="shared" si="37"/>
        <v>0.18018887660010527</v>
      </c>
      <c r="D326">
        <f t="shared" si="42"/>
        <v>125.63696531339231</v>
      </c>
      <c r="E326">
        <f t="shared" si="38"/>
        <v>21.991136581780793</v>
      </c>
      <c r="F326">
        <f t="shared" si="43"/>
        <v>6.1335888468057504</v>
      </c>
      <c r="G326">
        <f t="shared" si="44"/>
        <v>33.482613117579035</v>
      </c>
      <c r="H326">
        <f t="shared" si="39"/>
        <v>52.837918092537571</v>
      </c>
      <c r="J326">
        <f t="shared" si="40"/>
        <v>0.61335888468057509</v>
      </c>
      <c r="K326">
        <f t="shared" si="41"/>
        <v>3.3482613117579034</v>
      </c>
      <c r="L326">
        <v>0</v>
      </c>
    </row>
    <row r="327" spans="1:12" x14ac:dyDescent="0.4">
      <c r="A327">
        <v>315</v>
      </c>
      <c r="B327">
        <f t="shared" si="36"/>
        <v>10.324649298597194</v>
      </c>
      <c r="C327">
        <f t="shared" si="37"/>
        <v>0.17922547713490258</v>
      </c>
      <c r="D327">
        <f t="shared" si="42"/>
        <v>125.86431379793655</v>
      </c>
      <c r="E327">
        <f t="shared" si="38"/>
        <v>21.90551845173313</v>
      </c>
      <c r="F327">
        <f t="shared" si="43"/>
        <v>6.0970126225469734</v>
      </c>
      <c r="G327">
        <f t="shared" si="44"/>
        <v>33.467841945141522</v>
      </c>
      <c r="H327">
        <f t="shared" si="39"/>
        <v>52.391701089426562</v>
      </c>
      <c r="J327">
        <f t="shared" si="40"/>
        <v>0.60970126225469734</v>
      </c>
      <c r="K327">
        <f t="shared" si="41"/>
        <v>3.3467841945141523</v>
      </c>
      <c r="L327">
        <v>0</v>
      </c>
    </row>
    <row r="328" spans="1:12" x14ac:dyDescent="0.4">
      <c r="A328">
        <v>316</v>
      </c>
      <c r="B328">
        <f t="shared" si="36"/>
        <v>10.268537074148295</v>
      </c>
      <c r="C328">
        <f t="shared" si="37"/>
        <v>0.17826190577225662</v>
      </c>
      <c r="D328">
        <f t="shared" si="42"/>
        <v>126.0923851711439</v>
      </c>
      <c r="E328">
        <f t="shared" si="38"/>
        <v>21.819538877353907</v>
      </c>
      <c r="F328">
        <f t="shared" si="43"/>
        <v>6.0604940863501087</v>
      </c>
      <c r="G328">
        <f t="shared" si="44"/>
        <v>33.453157501869484</v>
      </c>
      <c r="H328">
        <f t="shared" si="39"/>
        <v>51.949033357637155</v>
      </c>
      <c r="J328">
        <f t="shared" si="40"/>
        <v>0.60604940863501089</v>
      </c>
      <c r="K328">
        <f t="shared" si="41"/>
        <v>3.3453157501869484</v>
      </c>
      <c r="L328">
        <v>0</v>
      </c>
    </row>
    <row r="329" spans="1:12" x14ac:dyDescent="0.4">
      <c r="A329">
        <v>317</v>
      </c>
      <c r="B329">
        <f t="shared" si="36"/>
        <v>10.212424849699399</v>
      </c>
      <c r="C329">
        <f t="shared" si="37"/>
        <v>0.17729816343634108</v>
      </c>
      <c r="D329">
        <f t="shared" si="42"/>
        <v>126.32117943301432</v>
      </c>
      <c r="E329">
        <f t="shared" si="38"/>
        <v>21.733197858643138</v>
      </c>
      <c r="F329">
        <f t="shared" si="43"/>
        <v>6.0240328586675833</v>
      </c>
      <c r="G329">
        <f t="shared" si="44"/>
        <v>33.438559626213468</v>
      </c>
      <c r="H329">
        <f t="shared" si="39"/>
        <v>51.509865728931189</v>
      </c>
      <c r="J329">
        <f t="shared" si="40"/>
        <v>0.60240328586675829</v>
      </c>
      <c r="K329">
        <f t="shared" si="41"/>
        <v>3.3438559626213467</v>
      </c>
      <c r="L329">
        <v>0</v>
      </c>
    </row>
    <row r="330" spans="1:12" x14ac:dyDescent="0.4">
      <c r="A330">
        <v>318</v>
      </c>
      <c r="B330">
        <f t="shared" si="36"/>
        <v>10.1563126252505</v>
      </c>
      <c r="C330">
        <f t="shared" si="37"/>
        <v>0.17633425105149342</v>
      </c>
      <c r="D330">
        <f t="shared" si="42"/>
        <v>126.55069658354786</v>
      </c>
      <c r="E330">
        <f t="shared" si="38"/>
        <v>21.646495395600823</v>
      </c>
      <c r="F330">
        <f t="shared" si="43"/>
        <v>5.9876285611999984</v>
      </c>
      <c r="G330">
        <f t="shared" si="44"/>
        <v>33.424048157665936</v>
      </c>
      <c r="H330">
        <f t="shared" si="39"/>
        <v>51.074149791946418</v>
      </c>
      <c r="J330">
        <f t="shared" si="40"/>
        <v>0.5987628561199998</v>
      </c>
      <c r="K330">
        <f t="shared" si="41"/>
        <v>3.3424048157665935</v>
      </c>
      <c r="L330">
        <v>0</v>
      </c>
    </row>
    <row r="331" spans="1:12" x14ac:dyDescent="0.4">
      <c r="A331">
        <v>319</v>
      </c>
      <c r="B331">
        <f t="shared" si="36"/>
        <v>10.100200400801604</v>
      </c>
      <c r="C331">
        <f t="shared" si="37"/>
        <v>0.17537016954221443</v>
      </c>
      <c r="D331">
        <f t="shared" si="42"/>
        <v>126.78093662274446</v>
      </c>
      <c r="E331">
        <f t="shared" si="38"/>
        <v>21.559431488226963</v>
      </c>
      <c r="F331">
        <f t="shared" si="43"/>
        <v>5.9512808168891773</v>
      </c>
      <c r="G331">
        <f t="shared" si="44"/>
        <v>33.409622936770006</v>
      </c>
      <c r="H331">
        <f t="shared" si="39"/>
        <v>50.641837877446505</v>
      </c>
      <c r="J331">
        <f t="shared" si="40"/>
        <v>0.59512808168891773</v>
      </c>
      <c r="K331">
        <f t="shared" si="41"/>
        <v>3.3409622936770007</v>
      </c>
      <c r="L331">
        <v>0</v>
      </c>
    </row>
    <row r="332" spans="1:12" x14ac:dyDescent="0.4">
      <c r="A332">
        <v>320</v>
      </c>
      <c r="B332">
        <f t="shared" ref="B332:B395" si="45">IF(A332="",NA(),-$B$3/($B$2-1)*A332+$B$3)</f>
        <v>10.044088176352705</v>
      </c>
      <c r="C332">
        <f t="shared" ref="C332:C395" si="46">SIN(RADIANS(B332))</f>
        <v>0.17440591983316686</v>
      </c>
      <c r="D332">
        <f t="shared" si="42"/>
        <v>127.01189955060421</v>
      </c>
      <c r="E332">
        <f t="shared" ref="E332:E395" si="47">IFERROR(90-(B332+D332)/2,IF($B$2-1=A332,E331,NA()))</f>
        <v>21.472006136521543</v>
      </c>
      <c r="F332">
        <f t="shared" si="43"/>
        <v>5.9149892499111125</v>
      </c>
      <c r="G332">
        <f t="shared" si="44"/>
        <v>33.395283805128052</v>
      </c>
      <c r="H332">
        <f t="shared" ref="H332:H395" si="48">IF(A332="",NA(),F332-G332/TAN(RADIANS(270-D332)))</f>
        <v>50.212883043890059</v>
      </c>
      <c r="J332">
        <f t="shared" ref="J332:J395" si="49">IF(A332="",NA(),F332/10)</f>
        <v>0.59149892499111123</v>
      </c>
      <c r="K332">
        <f t="shared" ref="K332:K395" si="50">IF(A332="",NA(),G332/10)</f>
        <v>3.3395283805128053</v>
      </c>
      <c r="L332">
        <v>0</v>
      </c>
    </row>
    <row r="333" spans="1:12" x14ac:dyDescent="0.4">
      <c r="A333">
        <v>321</v>
      </c>
      <c r="B333">
        <f t="shared" si="45"/>
        <v>9.987975951903806</v>
      </c>
      <c r="C333">
        <f t="shared" si="46"/>
        <v>0.17344150284917498</v>
      </c>
      <c r="D333">
        <f t="shared" ref="D333:D396" si="51" xml:space="preserve"> IF(A333="", NA(), MEDIAN(90, 180, $F$3*B333^2 - ((90+$F$3*$B$3^2)/$B$3)*B333 + 180))</f>
        <v>127.24358536712704</v>
      </c>
      <c r="E333">
        <f t="shared" si="47"/>
        <v>21.384219340484577</v>
      </c>
      <c r="F333">
        <f t="shared" ref="F333:F396" si="52">IFERROR(F332*(TAN(RADIANS(E332))-TAN(RADIANS(90-B332)))/(TAN(RADIANS(E332))-TAN(RADIANS(90-B333))),IF($B$2-1=A333,0,NA()))</f>
        <v>5.8787534856689874</v>
      </c>
      <c r="G333">
        <f t="shared" ref="G333:G396" si="53">IFERROR(TAN(RADIANS(90-B333))*F333,IF($B$2-1=A333,G332,NA()))</f>
        <v>33.381030605410352</v>
      </c>
      <c r="H333">
        <f t="shared" si="48"/>
        <v>49.787239063312356</v>
      </c>
      <c r="J333">
        <f t="shared" si="49"/>
        <v>0.58787534856689871</v>
      </c>
      <c r="K333">
        <f t="shared" si="50"/>
        <v>3.3381030605410351</v>
      </c>
      <c r="L333">
        <v>0</v>
      </c>
    </row>
    <row r="334" spans="1:12" x14ac:dyDescent="0.4">
      <c r="A334">
        <v>322</v>
      </c>
      <c r="B334">
        <f t="shared" si="45"/>
        <v>9.9318637274549104</v>
      </c>
      <c r="C334">
        <f t="shared" si="46"/>
        <v>0.17247691951522354</v>
      </c>
      <c r="D334">
        <f t="shared" si="51"/>
        <v>127.47599407231296</v>
      </c>
      <c r="E334">
        <f t="shared" si="47"/>
        <v>21.296071100116066</v>
      </c>
      <c r="F334">
        <f t="shared" si="52"/>
        <v>5.8425731507859924</v>
      </c>
      <c r="G334">
        <f t="shared" si="53"/>
        <v>33.366863181363506</v>
      </c>
      <c r="H334">
        <f t="shared" si="48"/>
        <v>49.364860407509603</v>
      </c>
      <c r="J334">
        <f t="shared" si="49"/>
        <v>0.58425731507859924</v>
      </c>
      <c r="K334">
        <f t="shared" si="50"/>
        <v>3.3366863181363504</v>
      </c>
      <c r="L334">
        <v>0</v>
      </c>
    </row>
    <row r="335" spans="1:12" x14ac:dyDescent="0.4">
      <c r="A335">
        <v>323</v>
      </c>
      <c r="B335">
        <f t="shared" si="45"/>
        <v>9.8757515030060112</v>
      </c>
      <c r="C335">
        <f t="shared" si="46"/>
        <v>0.17151217075645653</v>
      </c>
      <c r="D335">
        <f t="shared" si="51"/>
        <v>127.70912566616198</v>
      </c>
      <c r="E335">
        <f t="shared" si="47"/>
        <v>21.207561415416009</v>
      </c>
      <c r="F335">
        <f t="shared" si="52"/>
        <v>5.8064478730982279</v>
      </c>
      <c r="G335">
        <f t="shared" si="53"/>
        <v>33.352781377818971</v>
      </c>
      <c r="H335">
        <f t="shared" si="48"/>
        <v>48.945702234520532</v>
      </c>
      <c r="J335">
        <f t="shared" si="49"/>
        <v>0.58064478730982283</v>
      </c>
      <c r="K335">
        <f t="shared" si="50"/>
        <v>3.3352781377818972</v>
      </c>
      <c r="L335">
        <v>0</v>
      </c>
    </row>
    <row r="336" spans="1:12" x14ac:dyDescent="0.4">
      <c r="A336">
        <v>324</v>
      </c>
      <c r="B336">
        <f t="shared" si="45"/>
        <v>9.8196392785571156</v>
      </c>
      <c r="C336">
        <f t="shared" si="46"/>
        <v>0.17054725749817695</v>
      </c>
      <c r="D336">
        <f t="shared" si="51"/>
        <v>127.9429801486741</v>
      </c>
      <c r="E336">
        <f t="shared" si="47"/>
        <v>21.118690286384393</v>
      </c>
      <c r="F336">
        <f t="shared" si="52"/>
        <v>5.7703772816475052</v>
      </c>
      <c r="G336">
        <f t="shared" si="53"/>
        <v>33.338785040701431</v>
      </c>
      <c r="H336">
        <f t="shared" si="48"/>
        <v>48.529720375395989</v>
      </c>
      <c r="J336">
        <f t="shared" si="49"/>
        <v>0.57703772816475052</v>
      </c>
      <c r="K336">
        <f t="shared" si="50"/>
        <v>3.3338785040701433</v>
      </c>
      <c r="L336">
        <v>0</v>
      </c>
    </row>
    <row r="337" spans="1:12" x14ac:dyDescent="0.4">
      <c r="A337">
        <v>325</v>
      </c>
      <c r="B337">
        <f t="shared" si="45"/>
        <v>9.7635270541082164</v>
      </c>
      <c r="C337">
        <f t="shared" si="46"/>
        <v>0.16958218066584535</v>
      </c>
      <c r="D337">
        <f t="shared" si="51"/>
        <v>128.1775575198493</v>
      </c>
      <c r="E337">
        <f t="shared" si="47"/>
        <v>21.029457713021245</v>
      </c>
      <c r="F337">
        <f t="shared" si="52"/>
        <v>5.7343610066741277</v>
      </c>
      <c r="G337">
        <f t="shared" si="53"/>
        <v>33.32487401703716</v>
      </c>
      <c r="H337">
        <f t="shared" si="48"/>
        <v>48.116871321250279</v>
      </c>
      <c r="J337">
        <f t="shared" si="49"/>
        <v>0.5734361006674128</v>
      </c>
      <c r="K337">
        <f t="shared" si="50"/>
        <v>3.332487401703716</v>
      </c>
      <c r="L337">
        <v>0</v>
      </c>
    </row>
    <row r="338" spans="1:12" x14ac:dyDescent="0.4">
      <c r="A338">
        <v>326</v>
      </c>
      <c r="B338">
        <f t="shared" si="45"/>
        <v>9.7074148296593172</v>
      </c>
      <c r="C338">
        <f t="shared" si="46"/>
        <v>0.16861694118507925</v>
      </c>
      <c r="D338">
        <f t="shared" si="51"/>
        <v>128.41285777968764</v>
      </c>
      <c r="E338">
        <f t="shared" si="47"/>
        <v>20.939863695326522</v>
      </c>
      <c r="F338">
        <f t="shared" si="52"/>
        <v>5.6983986796096131</v>
      </c>
      <c r="G338">
        <f t="shared" si="53"/>
        <v>33.311048154962286</v>
      </c>
      <c r="H338">
        <f t="shared" si="48"/>
        <v>47.707112210586715</v>
      </c>
      <c r="J338">
        <f t="shared" si="49"/>
        <v>0.56983986796096131</v>
      </c>
      <c r="K338">
        <f t="shared" si="50"/>
        <v>3.3311048154962286</v>
      </c>
      <c r="L338">
        <v>0</v>
      </c>
    </row>
    <row r="339" spans="1:12" x14ac:dyDescent="0.4">
      <c r="A339">
        <v>327</v>
      </c>
      <c r="B339">
        <f t="shared" si="45"/>
        <v>9.6513026052104216</v>
      </c>
      <c r="C339">
        <f t="shared" si="46"/>
        <v>0.16765153998165225</v>
      </c>
      <c r="D339">
        <f t="shared" si="51"/>
        <v>128.64888092818904</v>
      </c>
      <c r="E339">
        <f t="shared" si="47"/>
        <v>20.849908233300269</v>
      </c>
      <c r="F339">
        <f t="shared" si="52"/>
        <v>5.662489933069395</v>
      </c>
      <c r="G339">
        <f t="shared" si="53"/>
        <v>33.297307303731088</v>
      </c>
      <c r="H339">
        <f t="shared" si="48"/>
        <v>47.300400816891241</v>
      </c>
      <c r="J339">
        <f t="shared" si="49"/>
        <v>0.56624899330693945</v>
      </c>
      <c r="K339">
        <f t="shared" si="50"/>
        <v>3.3297307303731087</v>
      </c>
      <c r="L339">
        <v>0</v>
      </c>
    </row>
    <row r="340" spans="1:12" x14ac:dyDescent="0.4">
      <c r="A340">
        <v>328</v>
      </c>
      <c r="B340">
        <f t="shared" si="45"/>
        <v>9.5951903807615224</v>
      </c>
      <c r="C340">
        <f t="shared" si="46"/>
        <v>0.16668597798149282</v>
      </c>
      <c r="D340">
        <f t="shared" si="51"/>
        <v>128.88562696535354</v>
      </c>
      <c r="E340">
        <f t="shared" si="47"/>
        <v>20.75959132694247</v>
      </c>
      <c r="F340">
        <f t="shared" si="52"/>
        <v>5.6266344008454734</v>
      </c>
      <c r="G340">
        <f t="shared" si="53"/>
        <v>33.283651313724143</v>
      </c>
      <c r="H340">
        <f t="shared" si="48"/>
        <v>46.896695536486156</v>
      </c>
      <c r="J340">
        <f t="shared" si="49"/>
        <v>0.56266344008454738</v>
      </c>
      <c r="K340">
        <f t="shared" si="50"/>
        <v>3.3283651313724141</v>
      </c>
      <c r="L340">
        <v>0</v>
      </c>
    </row>
    <row r="341" spans="1:12" x14ac:dyDescent="0.4">
      <c r="A341">
        <v>329</v>
      </c>
      <c r="B341">
        <f t="shared" si="45"/>
        <v>9.5390781563126268</v>
      </c>
      <c r="C341">
        <f t="shared" si="46"/>
        <v>0.16572025611068394</v>
      </c>
      <c r="D341">
        <f t="shared" si="51"/>
        <v>129.12309589118115</v>
      </c>
      <c r="E341">
        <f t="shared" si="47"/>
        <v>20.668912976253111</v>
      </c>
      <c r="F341">
        <f t="shared" si="52"/>
        <v>5.5908317178990279</v>
      </c>
      <c r="G341">
        <f t="shared" si="53"/>
        <v>33.270080036456484</v>
      </c>
      <c r="H341">
        <f t="shared" si="48"/>
        <v>46.495955376638925</v>
      </c>
      <c r="J341">
        <f t="shared" si="49"/>
        <v>0.55908317178990274</v>
      </c>
      <c r="K341">
        <f t="shared" si="50"/>
        <v>3.3270080036456484</v>
      </c>
      <c r="L341">
        <v>0</v>
      </c>
    </row>
    <row r="342" spans="1:12" x14ac:dyDescent="0.4">
      <c r="A342">
        <v>330</v>
      </c>
      <c r="B342">
        <f t="shared" si="45"/>
        <v>9.4829659318637276</v>
      </c>
      <c r="C342">
        <f t="shared" si="46"/>
        <v>0.16475437529546164</v>
      </c>
      <c r="D342">
        <f t="shared" si="51"/>
        <v>129.36128770567186</v>
      </c>
      <c r="E342">
        <f t="shared" si="47"/>
        <v>20.577873181232206</v>
      </c>
      <c r="F342">
        <f t="shared" si="52"/>
        <v>5.5550815203530011</v>
      </c>
      <c r="G342">
        <f t="shared" si="53"/>
        <v>33.256593324585744</v>
      </c>
      <c r="H342">
        <f t="shared" si="48"/>
        <v>46.098139943918966</v>
      </c>
      <c r="J342">
        <f t="shared" si="49"/>
        <v>0.55550815203530013</v>
      </c>
      <c r="K342">
        <f t="shared" si="50"/>
        <v>3.3256593324585744</v>
      </c>
      <c r="L342">
        <v>0</v>
      </c>
    </row>
    <row r="343" spans="1:12" x14ac:dyDescent="0.4">
      <c r="A343">
        <v>331</v>
      </c>
      <c r="B343">
        <f t="shared" si="45"/>
        <v>9.4268537074148284</v>
      </c>
      <c r="C343">
        <f t="shared" si="46"/>
        <v>0.16378833646221466</v>
      </c>
      <c r="D343">
        <f t="shared" si="51"/>
        <v>129.60020240882568</v>
      </c>
      <c r="E343">
        <f t="shared" si="47"/>
        <v>20.486471941879742</v>
      </c>
      <c r="F343">
        <f t="shared" si="52"/>
        <v>5.5193834454846051</v>
      </c>
      <c r="G343">
        <f t="shared" si="53"/>
        <v>33.243191031920126</v>
      </c>
      <c r="H343">
        <f t="shared" si="48"/>
        <v>45.703209432796029</v>
      </c>
      <c r="J343">
        <f t="shared" si="49"/>
        <v>0.55193834454846047</v>
      </c>
      <c r="K343">
        <f t="shared" si="50"/>
        <v>3.3243191031920127</v>
      </c>
      <c r="L343">
        <v>0</v>
      </c>
    </row>
    <row r="344" spans="1:12" x14ac:dyDescent="0.4">
      <c r="A344">
        <v>332</v>
      </c>
      <c r="B344">
        <f t="shared" si="45"/>
        <v>9.3707414829659328</v>
      </c>
      <c r="C344">
        <f t="shared" si="46"/>
        <v>0.16282214053748317</v>
      </c>
      <c r="D344">
        <f t="shared" si="51"/>
        <v>129.83984000064257</v>
      </c>
      <c r="E344">
        <f t="shared" si="47"/>
        <v>20.394709258195746</v>
      </c>
      <c r="F344">
        <f t="shared" si="52"/>
        <v>5.48373713171787</v>
      </c>
      <c r="G344">
        <f t="shared" si="53"/>
        <v>33.229873013426513</v>
      </c>
      <c r="H344">
        <f t="shared" si="48"/>
        <v>45.311124614475361</v>
      </c>
      <c r="J344">
        <f t="shared" si="49"/>
        <v>0.54837371317178696</v>
      </c>
      <c r="K344">
        <f t="shared" si="50"/>
        <v>3.3229873013426512</v>
      </c>
      <c r="L344">
        <v>0</v>
      </c>
    </row>
    <row r="345" spans="1:12" x14ac:dyDescent="0.4">
      <c r="A345">
        <v>333</v>
      </c>
      <c r="B345">
        <f t="shared" si="45"/>
        <v>9.3146292585170336</v>
      </c>
      <c r="C345">
        <f t="shared" si="46"/>
        <v>0.16185578844795792</v>
      </c>
      <c r="D345">
        <f t="shared" si="51"/>
        <v>130.08020048112257</v>
      </c>
      <c r="E345">
        <f t="shared" si="47"/>
        <v>20.302585130180191</v>
      </c>
      <c r="F345">
        <f t="shared" si="52"/>
        <v>5.4481422186160682</v>
      </c>
      <c r="G345">
        <f t="shared" si="53"/>
        <v>33.216639125238387</v>
      </c>
      <c r="H345">
        <f t="shared" si="48"/>
        <v>44.921846825962</v>
      </c>
      <c r="J345">
        <f t="shared" si="49"/>
        <v>0.54481422186160677</v>
      </c>
      <c r="K345">
        <f t="shared" si="50"/>
        <v>3.3216639125238387</v>
      </c>
      <c r="L345">
        <v>0</v>
      </c>
    </row>
    <row r="346" spans="1:12" x14ac:dyDescent="0.4">
      <c r="A346">
        <v>334</v>
      </c>
      <c r="B346">
        <f t="shared" si="45"/>
        <v>9.2585170340681344</v>
      </c>
      <c r="C346">
        <f t="shared" si="46"/>
        <v>0.16088928112047962</v>
      </c>
      <c r="D346">
        <f t="shared" si="51"/>
        <v>130.32128385026567</v>
      </c>
      <c r="E346">
        <f t="shared" si="47"/>
        <v>20.210099557833104</v>
      </c>
      <c r="F346">
        <f t="shared" si="52"/>
        <v>5.4125983468741774</v>
      </c>
      <c r="G346">
        <f t="shared" si="53"/>
        <v>33.203489224663777</v>
      </c>
      <c r="H346">
        <f t="shared" si="48"/>
        <v>44.535337959350564</v>
      </c>
      <c r="J346">
        <f t="shared" si="49"/>
        <v>0.54125983468741778</v>
      </c>
      <c r="K346">
        <f t="shared" si="50"/>
        <v>3.3203489224663776</v>
      </c>
      <c r="L346">
        <v>0</v>
      </c>
    </row>
    <row r="347" spans="1:12" x14ac:dyDescent="0.4">
      <c r="A347">
        <v>335</v>
      </c>
      <c r="B347">
        <f t="shared" si="45"/>
        <v>9.2024048096192388</v>
      </c>
      <c r="C347">
        <f t="shared" si="46"/>
        <v>0.15992261948203784</v>
      </c>
      <c r="D347">
        <f t="shared" si="51"/>
        <v>130.56309010807186</v>
      </c>
      <c r="E347">
        <f t="shared" si="47"/>
        <v>20.117252541154443</v>
      </c>
      <c r="F347">
        <f t="shared" si="52"/>
        <v>5.3771051583112346</v>
      </c>
      <c r="G347">
        <f t="shared" si="53"/>
        <v>33.190423170193156</v>
      </c>
      <c r="H347">
        <f t="shared" si="48"/>
        <v>44.15156045133358</v>
      </c>
      <c r="J347">
        <f t="shared" si="49"/>
        <v>0.5377105158311235</v>
      </c>
      <c r="K347">
        <f t="shared" si="50"/>
        <v>3.3190423170193157</v>
      </c>
      <c r="L347">
        <v>0</v>
      </c>
    </row>
    <row r="348" spans="1:12" x14ac:dyDescent="0.4">
      <c r="A348">
        <v>336</v>
      </c>
      <c r="B348">
        <f t="shared" si="45"/>
        <v>9.1462925851703396</v>
      </c>
      <c r="C348">
        <f t="shared" si="46"/>
        <v>0.15895580445976998</v>
      </c>
      <c r="D348">
        <f t="shared" si="51"/>
        <v>130.80561925454117</v>
      </c>
      <c r="E348">
        <f t="shared" si="47"/>
        <v>20.02404408014425</v>
      </c>
      <c r="F348">
        <f t="shared" si="52"/>
        <v>5.3416622958626911</v>
      </c>
      <c r="G348">
        <f t="shared" si="53"/>
        <v>33.177440821507304</v>
      </c>
      <c r="H348">
        <f t="shared" si="48"/>
        <v>43.770477272923415</v>
      </c>
      <c r="J348">
        <f t="shared" si="49"/>
        <v>0.53416622958626914</v>
      </c>
      <c r="K348">
        <f t="shared" si="50"/>
        <v>3.3177440821507305</v>
      </c>
      <c r="L348">
        <v>0</v>
      </c>
    </row>
    <row r="349" spans="1:12" x14ac:dyDescent="0.4">
      <c r="A349">
        <v>337</v>
      </c>
      <c r="B349">
        <f t="shared" si="45"/>
        <v>9.090180360721444</v>
      </c>
      <c r="C349">
        <f t="shared" si="46"/>
        <v>0.15798883698096072</v>
      </c>
      <c r="D349">
        <f t="shared" si="51"/>
        <v>131.04887128967351</v>
      </c>
      <c r="E349">
        <f t="shared" si="47"/>
        <v>19.930474174802526</v>
      </c>
      <c r="F349">
        <f t="shared" si="52"/>
        <v>5.306269403572772</v>
      </c>
      <c r="G349">
        <f t="shared" si="53"/>
        <v>33.164542039485156</v>
      </c>
      <c r="H349">
        <f t="shared" si="48"/>
        <v>43.392051919383128</v>
      </c>
      <c r="J349">
        <f t="shared" si="49"/>
        <v>0.5306269403572772</v>
      </c>
      <c r="K349">
        <f t="shared" si="50"/>
        <v>3.3164542039485156</v>
      </c>
      <c r="L349">
        <v>0</v>
      </c>
    </row>
    <row r="350" spans="1:12" x14ac:dyDescent="0.4">
      <c r="A350">
        <v>338</v>
      </c>
      <c r="B350">
        <f t="shared" si="45"/>
        <v>9.0340681362725448</v>
      </c>
      <c r="C350">
        <f t="shared" si="46"/>
        <v>0.1570217179730409</v>
      </c>
      <c r="D350">
        <f t="shared" si="51"/>
        <v>131.29284621346903</v>
      </c>
      <c r="E350">
        <f t="shared" si="47"/>
        <v>19.836542825129214</v>
      </c>
      <c r="F350">
        <f t="shared" si="52"/>
        <v>5.2709261265867191</v>
      </c>
      <c r="G350">
        <f t="shared" si="53"/>
        <v>33.15172668621156</v>
      </c>
      <c r="H350">
        <f t="shared" si="48"/>
        <v>43.016248400359615</v>
      </c>
      <c r="J350">
        <f t="shared" si="49"/>
        <v>0.52709261265867191</v>
      </c>
      <c r="K350">
        <f t="shared" si="50"/>
        <v>3.3151726686211562</v>
      </c>
      <c r="L350">
        <v>0</v>
      </c>
    </row>
    <row r="351" spans="1:12" x14ac:dyDescent="0.4">
      <c r="A351">
        <v>339</v>
      </c>
      <c r="B351">
        <f t="shared" si="45"/>
        <v>8.9779559118236456</v>
      </c>
      <c r="C351">
        <f t="shared" si="46"/>
        <v>0.1560544483635867</v>
      </c>
      <c r="D351">
        <f t="shared" si="51"/>
        <v>131.53754402592762</v>
      </c>
      <c r="E351">
        <f t="shared" si="47"/>
        <v>19.742250031124371</v>
      </c>
      <c r="F351">
        <f t="shared" si="52"/>
        <v>5.2356321111430866</v>
      </c>
      <c r="G351">
        <f t="shared" si="53"/>
        <v>33.138994624985081</v>
      </c>
      <c r="H351">
        <f t="shared" si="48"/>
        <v>42.643031230216849</v>
      </c>
      <c r="J351">
        <f t="shared" si="49"/>
        <v>0.5235632111143087</v>
      </c>
      <c r="K351">
        <f t="shared" si="50"/>
        <v>3.3138994624985081</v>
      </c>
      <c r="L351">
        <v>0</v>
      </c>
    </row>
    <row r="352" spans="1:12" x14ac:dyDescent="0.4">
      <c r="A352">
        <v>340</v>
      </c>
      <c r="B352">
        <f t="shared" si="45"/>
        <v>8.92184368737475</v>
      </c>
      <c r="C352">
        <f t="shared" si="46"/>
        <v>0.15508702908031885</v>
      </c>
      <c r="D352">
        <f t="shared" si="51"/>
        <v>131.78296472704929</v>
      </c>
      <c r="E352">
        <f t="shared" si="47"/>
        <v>19.647595792787982</v>
      </c>
      <c r="F352">
        <f t="shared" si="52"/>
        <v>5.2003870045659122</v>
      </c>
      <c r="G352">
        <f t="shared" si="53"/>
        <v>33.126345720325709</v>
      </c>
      <c r="H352">
        <f t="shared" si="48"/>
        <v>42.272365418560859</v>
      </c>
      <c r="J352">
        <f t="shared" si="49"/>
        <v>0.52003870045659117</v>
      </c>
      <c r="K352">
        <f t="shared" si="50"/>
        <v>3.3126345720325707</v>
      </c>
      <c r="L352">
        <v>0</v>
      </c>
    </row>
    <row r="353" spans="1:12" x14ac:dyDescent="0.4">
      <c r="A353">
        <v>341</v>
      </c>
      <c r="B353">
        <f t="shared" si="45"/>
        <v>8.8657314629258508</v>
      </c>
      <c r="C353">
        <f t="shared" si="46"/>
        <v>0.15411946105110141</v>
      </c>
      <c r="D353">
        <f t="shared" si="51"/>
        <v>132.02910831683408</v>
      </c>
      <c r="E353">
        <f t="shared" si="47"/>
        <v>19.552580110120033</v>
      </c>
      <c r="F353">
        <f t="shared" si="52"/>
        <v>5.1651904552569059</v>
      </c>
      <c r="G353">
        <f t="shared" si="53"/>
        <v>33.113779837982598</v>
      </c>
      <c r="H353">
        <f t="shared" si="48"/>
        <v>41.904216460954771</v>
      </c>
      <c r="J353">
        <f t="shared" si="49"/>
        <v>0.51651904552569061</v>
      </c>
      <c r="K353">
        <f t="shared" si="50"/>
        <v>3.31137798379826</v>
      </c>
      <c r="L353">
        <v>0</v>
      </c>
    </row>
    <row r="354" spans="1:12" x14ac:dyDescent="0.4">
      <c r="A354">
        <v>342</v>
      </c>
      <c r="B354">
        <f t="shared" si="45"/>
        <v>8.8096192384769552</v>
      </c>
      <c r="C354">
        <f t="shared" si="46"/>
        <v>0.15315174520394129</v>
      </c>
      <c r="D354">
        <f t="shared" si="51"/>
        <v>132.27597479528194</v>
      </c>
      <c r="E354">
        <f t="shared" si="47"/>
        <v>19.457202983120553</v>
      </c>
      <c r="F354">
        <f t="shared" si="52"/>
        <v>5.1300421126876365</v>
      </c>
      <c r="G354">
        <f t="shared" si="53"/>
        <v>33.101296844941714</v>
      </c>
      <c r="H354">
        <f t="shared" si="48"/>
        <v>41.538550329817795</v>
      </c>
      <c r="J354">
        <f t="shared" si="49"/>
        <v>0.51300421126876361</v>
      </c>
      <c r="K354">
        <f t="shared" si="50"/>
        <v>3.3101296844941714</v>
      </c>
      <c r="L354">
        <v>0</v>
      </c>
    </row>
    <row r="355" spans="1:12" x14ac:dyDescent="0.4">
      <c r="A355">
        <v>343</v>
      </c>
      <c r="B355">
        <f t="shared" si="45"/>
        <v>8.753507014028056</v>
      </c>
      <c r="C355">
        <f t="shared" si="46"/>
        <v>0.15218388246698708</v>
      </c>
      <c r="D355">
        <f t="shared" si="51"/>
        <v>132.52356416239292</v>
      </c>
      <c r="E355">
        <f t="shared" si="47"/>
        <v>19.361464411789512</v>
      </c>
      <c r="F355">
        <f t="shared" si="52"/>
        <v>5.094941627391619</v>
      </c>
      <c r="G355">
        <f t="shared" si="53"/>
        <v>33.088896609433554</v>
      </c>
      <c r="H355">
        <f t="shared" si="48"/>
        <v>41.175333465504046</v>
      </c>
      <c r="J355">
        <f t="shared" si="49"/>
        <v>0.50949416273916193</v>
      </c>
      <c r="K355">
        <f t="shared" si="50"/>
        <v>3.3088896609433553</v>
      </c>
      <c r="L355">
        <v>0</v>
      </c>
    </row>
    <row r="356" spans="1:12" x14ac:dyDescent="0.4">
      <c r="A356">
        <v>344</v>
      </c>
      <c r="B356">
        <f t="shared" si="45"/>
        <v>8.6973947895791568</v>
      </c>
      <c r="C356">
        <f t="shared" si="46"/>
        <v>0.1512158737685283</v>
      </c>
      <c r="D356">
        <f t="shared" si="51"/>
        <v>132.77187641816698</v>
      </c>
      <c r="E356">
        <f t="shared" si="47"/>
        <v>19.265364396126927</v>
      </c>
      <c r="F356">
        <f t="shared" si="52"/>
        <v>5.0598886509564061</v>
      </c>
      <c r="G356">
        <f t="shared" si="53"/>
        <v>33.076579000940718</v>
      </c>
      <c r="H356">
        <f t="shared" si="48"/>
        <v>40.814532767556727</v>
      </c>
      <c r="J356">
        <f t="shared" si="49"/>
        <v>0.50598886509564056</v>
      </c>
      <c r="K356">
        <f t="shared" si="50"/>
        <v>3.307657900094072</v>
      </c>
      <c r="L356">
        <v>0</v>
      </c>
    </row>
    <row r="357" spans="1:12" x14ac:dyDescent="0.4">
      <c r="A357">
        <v>345</v>
      </c>
      <c r="B357">
        <f t="shared" si="45"/>
        <v>8.6412825651302612</v>
      </c>
      <c r="C357">
        <f t="shared" si="46"/>
        <v>0.15024772003699449</v>
      </c>
      <c r="D357">
        <f t="shared" si="51"/>
        <v>133.02091156260417</v>
      </c>
      <c r="E357">
        <f t="shared" si="47"/>
        <v>19.168902936132781</v>
      </c>
      <c r="F357">
        <f t="shared" si="52"/>
        <v>5.0248828360156486</v>
      </c>
      <c r="G357">
        <f t="shared" si="53"/>
        <v>33.064343890205578</v>
      </c>
      <c r="H357">
        <f t="shared" si="48"/>
        <v>40.456115586133947</v>
      </c>
      <c r="J357">
        <f t="shared" si="49"/>
        <v>0.50248828360156483</v>
      </c>
      <c r="K357">
        <f t="shared" si="50"/>
        <v>3.3064343890205579</v>
      </c>
      <c r="L357">
        <v>0</v>
      </c>
    </row>
    <row r="358" spans="1:12" x14ac:dyDescent="0.4">
      <c r="A358">
        <v>346</v>
      </c>
      <c r="B358">
        <f t="shared" si="45"/>
        <v>8.585170340681362</v>
      </c>
      <c r="C358">
        <f t="shared" si="46"/>
        <v>0.14927942220095419</v>
      </c>
      <c r="D358">
        <f t="shared" si="51"/>
        <v>133.27066959570442</v>
      </c>
      <c r="E358">
        <f t="shared" si="47"/>
        <v>19.072080031807104</v>
      </c>
      <c r="F358">
        <f t="shared" si="52"/>
        <v>4.9899238362410756</v>
      </c>
      <c r="G358">
        <f t="shared" si="53"/>
        <v>33.052191149237856</v>
      </c>
      <c r="H358">
        <f t="shared" si="48"/>
        <v>40.10004971360118</v>
      </c>
      <c r="J358">
        <f t="shared" si="49"/>
        <v>0.49899238362410758</v>
      </c>
      <c r="K358">
        <f t="shared" si="50"/>
        <v>3.3052191149237857</v>
      </c>
      <c r="L358">
        <v>0</v>
      </c>
    </row>
    <row r="359" spans="1:12" x14ac:dyDescent="0.4">
      <c r="A359">
        <v>347</v>
      </c>
      <c r="B359">
        <f t="shared" si="45"/>
        <v>8.5290581162324663</v>
      </c>
      <c r="C359">
        <f t="shared" si="46"/>
        <v>0.14831098118911432</v>
      </c>
      <c r="D359">
        <f t="shared" si="51"/>
        <v>133.52115051746779</v>
      </c>
      <c r="E359">
        <f t="shared" si="47"/>
        <v>18.974895683149867</v>
      </c>
      <c r="F359">
        <f t="shared" si="52"/>
        <v>4.9550113063345664</v>
      </c>
      <c r="G359">
        <f t="shared" si="53"/>
        <v>33.040120651322226</v>
      </c>
      <c r="H359">
        <f t="shared" si="48"/>
        <v>39.746303376287244</v>
      </c>
      <c r="J359">
        <f t="shared" si="49"/>
        <v>0.49550113063345663</v>
      </c>
      <c r="K359">
        <f t="shared" si="50"/>
        <v>3.3040120651322225</v>
      </c>
      <c r="L359">
        <v>0</v>
      </c>
    </row>
    <row r="360" spans="1:12" x14ac:dyDescent="0.4">
      <c r="A360">
        <v>348</v>
      </c>
      <c r="B360">
        <f t="shared" si="45"/>
        <v>8.4729458917835672</v>
      </c>
      <c r="C360">
        <f t="shared" si="46"/>
        <v>0.14734239793031886</v>
      </c>
      <c r="D360">
        <f t="shared" si="51"/>
        <v>133.77235432789428</v>
      </c>
      <c r="E360">
        <f t="shared" si="47"/>
        <v>18.877349890161071</v>
      </c>
      <c r="F360">
        <f t="shared" si="52"/>
        <v>4.9201449020200227</v>
      </c>
      <c r="G360">
        <f t="shared" si="53"/>
        <v>33.028132271025861</v>
      </c>
      <c r="H360">
        <f t="shared" si="48"/>
        <v>39.394845226399212</v>
      </c>
      <c r="J360">
        <f t="shared" si="49"/>
        <v>0.49201449020200227</v>
      </c>
      <c r="K360">
        <f t="shared" si="50"/>
        <v>3.3028132271025861</v>
      </c>
      <c r="L360">
        <v>0</v>
      </c>
    </row>
    <row r="361" spans="1:12" x14ac:dyDescent="0.4">
      <c r="A361">
        <v>349</v>
      </c>
      <c r="B361">
        <f t="shared" si="45"/>
        <v>8.416833667334668</v>
      </c>
      <c r="C361">
        <f t="shared" si="46"/>
        <v>0.14637367335354848</v>
      </c>
      <c r="D361">
        <f t="shared" si="51"/>
        <v>134.02428102698383</v>
      </c>
      <c r="E361">
        <f t="shared" si="47"/>
        <v>18.779442652840757</v>
      </c>
      <c r="F361">
        <f t="shared" si="52"/>
        <v>4.8853242800353414</v>
      </c>
      <c r="G361">
        <f t="shared" si="53"/>
        <v>33.016225884206008</v>
      </c>
      <c r="H361">
        <f t="shared" si="48"/>
        <v>39.04564433409292</v>
      </c>
      <c r="J361">
        <f t="shared" si="49"/>
        <v>0.48853242800353414</v>
      </c>
      <c r="K361">
        <f t="shared" si="50"/>
        <v>3.3016225884206007</v>
      </c>
      <c r="L361">
        <v>0</v>
      </c>
    </row>
    <row r="362" spans="1:12" x14ac:dyDescent="0.4">
      <c r="A362">
        <v>350</v>
      </c>
      <c r="B362">
        <f t="shared" si="45"/>
        <v>8.3607214428857723</v>
      </c>
      <c r="C362">
        <f t="shared" si="46"/>
        <v>0.14540480838791933</v>
      </c>
      <c r="D362">
        <f t="shared" si="51"/>
        <v>134.27693061473647</v>
      </c>
      <c r="E362">
        <f t="shared" si="47"/>
        <v>18.681173971188883</v>
      </c>
      <c r="F362">
        <f t="shared" si="52"/>
        <v>4.8505490981243042</v>
      </c>
      <c r="G362">
        <f t="shared" si="53"/>
        <v>33.004401368017525</v>
      </c>
      <c r="H362">
        <f t="shared" si="48"/>
        <v>38.69867017969473</v>
      </c>
      <c r="J362">
        <f t="shared" si="49"/>
        <v>0.48505490981243043</v>
      </c>
      <c r="K362">
        <f t="shared" si="50"/>
        <v>3.3004401368017526</v>
      </c>
      <c r="L362">
        <v>0</v>
      </c>
    </row>
    <row r="363" spans="1:12" x14ac:dyDescent="0.4">
      <c r="A363">
        <v>351</v>
      </c>
      <c r="B363">
        <f t="shared" si="45"/>
        <v>8.3046092184368732</v>
      </c>
      <c r="C363">
        <f t="shared" si="46"/>
        <v>0.14443580396268205</v>
      </c>
      <c r="D363">
        <f t="shared" si="51"/>
        <v>134.53030309115223</v>
      </c>
      <c r="E363">
        <f t="shared" si="47"/>
        <v>18.58254384520545</v>
      </c>
      <c r="F363">
        <f t="shared" si="52"/>
        <v>4.8158190150284064</v>
      </c>
      <c r="G363">
        <f t="shared" si="53"/>
        <v>32.992658600920414</v>
      </c>
      <c r="H363">
        <f t="shared" si="48"/>
        <v>38.353892646071628</v>
      </c>
      <c r="J363">
        <f t="shared" si="49"/>
        <v>0.48158190150284064</v>
      </c>
      <c r="K363">
        <f t="shared" si="50"/>
        <v>3.2992658600920413</v>
      </c>
      <c r="L363">
        <v>0</v>
      </c>
    </row>
    <row r="364" spans="1:12" x14ac:dyDescent="0.4">
      <c r="A364">
        <v>352</v>
      </c>
      <c r="B364">
        <f t="shared" si="45"/>
        <v>8.2484969939879775</v>
      </c>
      <c r="C364">
        <f t="shared" si="46"/>
        <v>0.1434666610072213</v>
      </c>
      <c r="D364">
        <f t="shared" si="51"/>
        <v>134.78439845623109</v>
      </c>
      <c r="E364">
        <f t="shared" si="47"/>
        <v>18.483552274890471</v>
      </c>
      <c r="F364">
        <f t="shared" si="52"/>
        <v>4.7811336904787698</v>
      </c>
      <c r="G364">
        <f t="shared" si="53"/>
        <v>32.980997462687334</v>
      </c>
      <c r="H364">
        <f t="shared" si="48"/>
        <v>38.011282011145838</v>
      </c>
      <c r="J364">
        <f t="shared" si="49"/>
        <v>0.47811336904787699</v>
      </c>
      <c r="K364">
        <f t="shared" si="50"/>
        <v>3.2980997462687336</v>
      </c>
      <c r="L364">
        <v>0</v>
      </c>
    </row>
    <row r="365" spans="1:12" x14ac:dyDescent="0.4">
      <c r="A365">
        <v>353</v>
      </c>
      <c r="B365">
        <f t="shared" si="45"/>
        <v>8.1923847695390783</v>
      </c>
      <c r="C365">
        <f t="shared" si="46"/>
        <v>0.14249738045105428</v>
      </c>
      <c r="D365">
        <f t="shared" si="51"/>
        <v>135.03921670997306</v>
      </c>
      <c r="E365">
        <f t="shared" si="47"/>
        <v>18.384199260243932</v>
      </c>
      <c r="F365">
        <f t="shared" si="52"/>
        <v>4.7464927851878675</v>
      </c>
      <c r="G365">
        <f t="shared" si="53"/>
        <v>32.969417834411175</v>
      </c>
      <c r="H365">
        <f t="shared" si="48"/>
        <v>37.670808940550003</v>
      </c>
      <c r="J365">
        <f t="shared" si="49"/>
        <v>0.47464927851878674</v>
      </c>
      <c r="K365">
        <f t="shared" si="50"/>
        <v>3.2969417834411177</v>
      </c>
      <c r="L365">
        <v>0</v>
      </c>
    </row>
    <row r="366" spans="1:12" x14ac:dyDescent="0.4">
      <c r="A366">
        <v>354</v>
      </c>
      <c r="B366">
        <f t="shared" si="45"/>
        <v>8.1362725450901792</v>
      </c>
      <c r="C366">
        <f t="shared" si="46"/>
        <v>0.14152796322383049</v>
      </c>
      <c r="D366">
        <f t="shared" si="51"/>
        <v>135.2947578523781</v>
      </c>
      <c r="E366">
        <f t="shared" si="47"/>
        <v>18.284484801265862</v>
      </c>
      <c r="F366">
        <f t="shared" si="52"/>
        <v>4.7118959608413373</v>
      </c>
      <c r="G366">
        <f t="shared" si="53"/>
        <v>32.95791959851249</v>
      </c>
      <c r="H366">
        <f t="shared" si="48"/>
        <v>37.332444480420506</v>
      </c>
      <c r="J366">
        <f t="shared" si="49"/>
        <v>0.47118959608413374</v>
      </c>
      <c r="K366">
        <f t="shared" si="50"/>
        <v>3.2957919598512491</v>
      </c>
      <c r="L366">
        <v>0</v>
      </c>
    </row>
    <row r="367" spans="1:12" x14ac:dyDescent="0.4">
      <c r="A367">
        <v>355</v>
      </c>
      <c r="B367">
        <f t="shared" si="45"/>
        <v>8.0801603206412835</v>
      </c>
      <c r="C367">
        <f t="shared" si="46"/>
        <v>0.14055841025533039</v>
      </c>
      <c r="D367">
        <f t="shared" si="51"/>
        <v>135.55102188344625</v>
      </c>
      <c r="E367">
        <f t="shared" si="47"/>
        <v>18.184408897956231</v>
      </c>
      <c r="F367">
        <f t="shared" si="52"/>
        <v>4.6773428800897294</v>
      </c>
      <c r="G367">
        <f t="shared" si="53"/>
        <v>32.946502638747077</v>
      </c>
      <c r="H367">
        <f t="shared" si="48"/>
        <v>36.996160050324562</v>
      </c>
      <c r="J367">
        <f t="shared" si="49"/>
        <v>0.46773428800897293</v>
      </c>
      <c r="K367">
        <f t="shared" si="50"/>
        <v>3.2946502638747077</v>
      </c>
      <c r="L367">
        <v>0</v>
      </c>
    </row>
    <row r="368" spans="1:12" x14ac:dyDescent="0.4">
      <c r="A368">
        <v>356</v>
      </c>
      <c r="B368">
        <f t="shared" si="45"/>
        <v>8.0240480961923843</v>
      </c>
      <c r="C368">
        <f t="shared" si="46"/>
        <v>0.13958872247546444</v>
      </c>
      <c r="D368">
        <f t="shared" si="51"/>
        <v>135.8080088031775</v>
      </c>
      <c r="E368">
        <f t="shared" si="47"/>
        <v>18.083971550315056</v>
      </c>
      <c r="F368">
        <f t="shared" si="52"/>
        <v>4.6428332065401836</v>
      </c>
      <c r="G368">
        <f t="shared" si="53"/>
        <v>32.935166840213462</v>
      </c>
      <c r="H368">
        <f t="shared" si="48"/>
        <v>36.661927436319026</v>
      </c>
      <c r="J368">
        <f t="shared" si="49"/>
        <v>0.46428332065401834</v>
      </c>
      <c r="K368">
        <f t="shared" si="50"/>
        <v>3.2935166840213461</v>
      </c>
      <c r="L368">
        <v>0</v>
      </c>
    </row>
    <row r="369" spans="1:12" x14ac:dyDescent="0.4">
      <c r="A369">
        <v>357</v>
      </c>
      <c r="B369">
        <f t="shared" si="45"/>
        <v>7.9679358717434852</v>
      </c>
      <c r="C369">
        <f t="shared" si="46"/>
        <v>0.13861890081427272</v>
      </c>
      <c r="D369">
        <f t="shared" si="51"/>
        <v>136.06571861157184</v>
      </c>
      <c r="E369">
        <f t="shared" si="47"/>
        <v>17.983172758342334</v>
      </c>
      <c r="F369">
        <f t="shared" si="52"/>
        <v>4.6083666047481673</v>
      </c>
      <c r="G369">
        <f t="shared" si="53"/>
        <v>32.923912089360392</v>
      </c>
      <c r="H369">
        <f t="shared" si="48"/>
        <v>36.329718784136752</v>
      </c>
      <c r="J369">
        <f t="shared" si="49"/>
        <v>0.46083666047481675</v>
      </c>
      <c r="K369">
        <f t="shared" si="50"/>
        <v>3.2923912089360394</v>
      </c>
      <c r="L369">
        <v>0</v>
      </c>
    </row>
    <row r="370" spans="1:12" x14ac:dyDescent="0.4">
      <c r="A370">
        <v>358</v>
      </c>
      <c r="B370">
        <f t="shared" si="45"/>
        <v>7.9118236472945895</v>
      </c>
      <c r="C370">
        <f t="shared" si="46"/>
        <v>0.13764894620192353</v>
      </c>
      <c r="D370">
        <f t="shared" si="51"/>
        <v>136.32415130862927</v>
      </c>
      <c r="E370">
        <f t="shared" si="47"/>
        <v>17.882012522038067</v>
      </c>
      <c r="F370">
        <f t="shared" si="52"/>
        <v>4.5739427402090982</v>
      </c>
      <c r="G370">
        <f t="shared" si="53"/>
        <v>32.912738273994407</v>
      </c>
      <c r="H370">
        <f t="shared" si="48"/>
        <v>35.99950659249803</v>
      </c>
      <c r="J370">
        <f t="shared" si="49"/>
        <v>0.45739427402090982</v>
      </c>
      <c r="K370">
        <f t="shared" si="50"/>
        <v>3.2912738273994409</v>
      </c>
      <c r="L370">
        <v>0</v>
      </c>
    </row>
    <row r="371" spans="1:12" x14ac:dyDescent="0.4">
      <c r="A371">
        <v>359</v>
      </c>
      <c r="B371">
        <f t="shared" si="45"/>
        <v>7.8557114228456904</v>
      </c>
      <c r="C371">
        <f t="shared" si="46"/>
        <v>0.1366788595687127</v>
      </c>
      <c r="D371">
        <f t="shared" si="51"/>
        <v>136.58330689434985</v>
      </c>
      <c r="E371">
        <f t="shared" si="47"/>
        <v>17.780490841402226</v>
      </c>
      <c r="F371">
        <f t="shared" si="52"/>
        <v>4.539561279349968</v>
      </c>
      <c r="G371">
        <f t="shared" si="53"/>
        <v>32.901645283287266</v>
      </c>
      <c r="H371">
        <f t="shared" si="48"/>
        <v>35.671263706543826</v>
      </c>
      <c r="J371">
        <f t="shared" si="49"/>
        <v>0.45395612793499679</v>
      </c>
      <c r="K371">
        <f t="shared" si="50"/>
        <v>3.2901645283287264</v>
      </c>
      <c r="L371">
        <v>0</v>
      </c>
    </row>
    <row r="372" spans="1:12" x14ac:dyDescent="0.4">
      <c r="A372">
        <v>360</v>
      </c>
      <c r="B372">
        <f t="shared" si="45"/>
        <v>7.7995991983967947</v>
      </c>
      <c r="C372">
        <f t="shared" si="46"/>
        <v>0.13570864184506276</v>
      </c>
      <c r="D372">
        <f t="shared" si="51"/>
        <v>136.84318536873346</v>
      </c>
      <c r="E372">
        <f t="shared" si="47"/>
        <v>17.678607716434868</v>
      </c>
      <c r="F372">
        <f t="shared" si="52"/>
        <v>4.5052218895209846</v>
      </c>
      <c r="G372">
        <f t="shared" si="53"/>
        <v>32.89063300778357</v>
      </c>
      <c r="H372">
        <f t="shared" si="48"/>
        <v>35.344963311388533</v>
      </c>
      <c r="J372">
        <f t="shared" si="49"/>
        <v>0.45052218895209845</v>
      </c>
      <c r="K372">
        <f t="shared" si="50"/>
        <v>3.289063300778357</v>
      </c>
      <c r="L372">
        <v>0</v>
      </c>
    </row>
    <row r="373" spans="1:12" x14ac:dyDescent="0.4">
      <c r="A373">
        <v>361</v>
      </c>
      <c r="B373">
        <f t="shared" si="45"/>
        <v>7.7434869739478955</v>
      </c>
      <c r="C373">
        <f t="shared" si="46"/>
        <v>0.13473829396152179</v>
      </c>
      <c r="D373">
        <f t="shared" si="51"/>
        <v>137.10378673178019</v>
      </c>
      <c r="E373">
        <f t="shared" si="47"/>
        <v>17.576363147135964</v>
      </c>
      <c r="F373">
        <f t="shared" si="52"/>
        <v>4.4709242389870569</v>
      </c>
      <c r="G373">
        <f t="shared" si="53"/>
        <v>32.879701339408221</v>
      </c>
      <c r="H373">
        <f t="shared" si="48"/>
        <v>35.020578925787973</v>
      </c>
      <c r="J373">
        <f t="shared" si="49"/>
        <v>0.44709242389870568</v>
      </c>
      <c r="K373">
        <f t="shared" si="50"/>
        <v>3.287970133940822</v>
      </c>
      <c r="L373">
        <v>0</v>
      </c>
    </row>
    <row r="374" spans="1:12" x14ac:dyDescent="0.4">
      <c r="A374">
        <v>362</v>
      </c>
      <c r="B374">
        <f t="shared" si="45"/>
        <v>7.6873747494989964</v>
      </c>
      <c r="C374">
        <f t="shared" si="46"/>
        <v>0.13376781684876296</v>
      </c>
      <c r="D374">
        <f t="shared" si="51"/>
        <v>137.36511098349001</v>
      </c>
      <c r="E374">
        <f t="shared" si="47"/>
        <v>17.473757133505501</v>
      </c>
      <c r="F374">
        <f t="shared" si="52"/>
        <v>4.4366679969194154</v>
      </c>
      <c r="G374">
        <f t="shared" si="53"/>
        <v>32.868850171473973</v>
      </c>
      <c r="H374">
        <f t="shared" si="48"/>
        <v>34.698084395921811</v>
      </c>
      <c r="J374">
        <f t="shared" si="49"/>
        <v>0.44366679969194156</v>
      </c>
      <c r="K374">
        <f t="shared" si="50"/>
        <v>3.2868850171473971</v>
      </c>
      <c r="L374">
        <v>0</v>
      </c>
    </row>
    <row r="375" spans="1:12" x14ac:dyDescent="0.4">
      <c r="A375">
        <v>363</v>
      </c>
      <c r="B375">
        <f t="shared" si="45"/>
        <v>7.6312625250501007</v>
      </c>
      <c r="C375">
        <f t="shared" si="46"/>
        <v>0.13279721143758322</v>
      </c>
      <c r="D375">
        <f t="shared" si="51"/>
        <v>137.62715812386296</v>
      </c>
      <c r="E375">
        <f t="shared" si="47"/>
        <v>17.370789675543477</v>
      </c>
      <c r="F375">
        <f t="shared" si="52"/>
        <v>4.4024528333870805</v>
      </c>
      <c r="G375">
        <f t="shared" si="53"/>
        <v>32.858079398689021</v>
      </c>
      <c r="H375">
        <f t="shared" si="48"/>
        <v>34.377453889285874</v>
      </c>
      <c r="J375">
        <f t="shared" si="49"/>
        <v>0.44024528333870805</v>
      </c>
      <c r="K375">
        <f t="shared" si="50"/>
        <v>3.285807939868902</v>
      </c>
      <c r="L375">
        <v>0</v>
      </c>
    </row>
    <row r="376" spans="1:12" x14ac:dyDescent="0.4">
      <c r="A376">
        <v>364</v>
      </c>
      <c r="B376">
        <f t="shared" si="45"/>
        <v>7.5751503006012015</v>
      </c>
      <c r="C376">
        <f t="shared" si="46"/>
        <v>0.1318264786589026</v>
      </c>
      <c r="D376">
        <f t="shared" si="51"/>
        <v>137.88992815289899</v>
      </c>
      <c r="E376">
        <f t="shared" si="47"/>
        <v>17.267460773249908</v>
      </c>
      <c r="F376">
        <f t="shared" si="52"/>
        <v>4.3682784193483508</v>
      </c>
      <c r="G376">
        <f t="shared" si="53"/>
        <v>32.84738891716453</v>
      </c>
      <c r="H376">
        <f t="shared" si="48"/>
        <v>34.058661888693052</v>
      </c>
      <c r="J376">
        <f t="shared" si="49"/>
        <v>0.43682784193483509</v>
      </c>
      <c r="K376">
        <f t="shared" si="50"/>
        <v>3.2847388917164531</v>
      </c>
      <c r="L376">
        <v>0</v>
      </c>
    </row>
    <row r="377" spans="1:12" x14ac:dyDescent="0.4">
      <c r="A377">
        <v>365</v>
      </c>
      <c r="B377">
        <f t="shared" si="45"/>
        <v>7.5190380761523059</v>
      </c>
      <c r="C377">
        <f t="shared" si="46"/>
        <v>0.13085561944376331</v>
      </c>
      <c r="D377">
        <f t="shared" si="51"/>
        <v>138.15342107059811</v>
      </c>
      <c r="E377">
        <f t="shared" si="47"/>
        <v>17.163770426624794</v>
      </c>
      <c r="F377">
        <f t="shared" si="52"/>
        <v>4.3341444266422764</v>
      </c>
      <c r="G377">
        <f t="shared" si="53"/>
        <v>32.836778624422202</v>
      </c>
      <c r="H377">
        <f t="shared" si="48"/>
        <v>33.741683186379099</v>
      </c>
      <c r="J377">
        <f t="shared" si="49"/>
        <v>0.43341444266422763</v>
      </c>
      <c r="K377">
        <f t="shared" si="50"/>
        <v>3.2836778624422203</v>
      </c>
      <c r="L377">
        <v>0</v>
      </c>
    </row>
    <row r="378" spans="1:12" x14ac:dyDescent="0.4">
      <c r="A378">
        <v>366</v>
      </c>
      <c r="B378">
        <f t="shared" si="45"/>
        <v>7.4629258517034067</v>
      </c>
      <c r="C378">
        <f t="shared" si="46"/>
        <v>0.12988463472332881</v>
      </c>
      <c r="D378">
        <f t="shared" si="51"/>
        <v>138.41763687696033</v>
      </c>
      <c r="E378">
        <f t="shared" si="47"/>
        <v>17.059718635668133</v>
      </c>
      <c r="F378">
        <f t="shared" si="52"/>
        <v>4.3000505279800532</v>
      </c>
      <c r="G378">
        <f t="shared" si="53"/>
        <v>32.8262484194019</v>
      </c>
      <c r="H378">
        <f t="shared" si="48"/>
        <v>33.426492878211818</v>
      </c>
      <c r="J378">
        <f t="shared" si="49"/>
        <v>0.43000505279800533</v>
      </c>
      <c r="K378">
        <f t="shared" si="50"/>
        <v>3.2826248419401898</v>
      </c>
      <c r="L378">
        <v>0</v>
      </c>
    </row>
    <row r="379" spans="1:12" x14ac:dyDescent="0.4">
      <c r="A379">
        <v>367</v>
      </c>
      <c r="B379">
        <f t="shared" si="45"/>
        <v>7.4068136272545075</v>
      </c>
      <c r="C379">
        <f t="shared" si="46"/>
        <v>0.1289135254288829</v>
      </c>
      <c r="D379">
        <f t="shared" si="51"/>
        <v>138.68257557198567</v>
      </c>
      <c r="E379">
        <f t="shared" si="47"/>
        <v>16.955305400379913</v>
      </c>
      <c r="F379">
        <f t="shared" si="52"/>
        <v>4.265996396936413</v>
      </c>
      <c r="G379">
        <f t="shared" si="53"/>
        <v>32.815798202469225</v>
      </c>
      <c r="H379">
        <f t="shared" si="48"/>
        <v>33.11306635800031</v>
      </c>
      <c r="J379">
        <f t="shared" si="49"/>
        <v>0.42659963969364129</v>
      </c>
      <c r="K379">
        <f t="shared" si="50"/>
        <v>3.2815798202469226</v>
      </c>
      <c r="L379">
        <v>0</v>
      </c>
    </row>
    <row r="380" spans="1:12" x14ac:dyDescent="0.4">
      <c r="A380">
        <v>368</v>
      </c>
      <c r="B380">
        <f t="shared" si="45"/>
        <v>7.3507014028056119</v>
      </c>
      <c r="C380">
        <f t="shared" si="46"/>
        <v>0.12794229249182906</v>
      </c>
      <c r="D380">
        <f t="shared" si="51"/>
        <v>138.94823715567406</v>
      </c>
      <c r="E380">
        <f t="shared" si="47"/>
        <v>16.850530720760162</v>
      </c>
      <c r="F380">
        <f t="shared" si="52"/>
        <v>4.2319817079410331</v>
      </c>
      <c r="G380">
        <f t="shared" si="53"/>
        <v>32.805427875423213</v>
      </c>
      <c r="H380">
        <f t="shared" si="48"/>
        <v>32.801379311902565</v>
      </c>
      <c r="J380">
        <f t="shared" si="49"/>
        <v>0.42319817079410332</v>
      </c>
      <c r="K380">
        <f t="shared" si="50"/>
        <v>3.2805427875423212</v>
      </c>
      <c r="L380">
        <v>0</v>
      </c>
    </row>
    <row r="381" spans="1:12" x14ac:dyDescent="0.4">
      <c r="A381">
        <v>369</v>
      </c>
      <c r="B381">
        <f t="shared" si="45"/>
        <v>7.2945891783567127</v>
      </c>
      <c r="C381">
        <f t="shared" si="46"/>
        <v>0.12697093684368901</v>
      </c>
      <c r="D381">
        <f t="shared" si="51"/>
        <v>139.21462162802558</v>
      </c>
      <c r="E381">
        <f t="shared" si="47"/>
        <v>16.74539459680885</v>
      </c>
      <c r="F381">
        <f t="shared" si="52"/>
        <v>4.1980061362698358</v>
      </c>
      <c r="G381">
        <f t="shared" si="53"/>
        <v>32.795137341503889</v>
      </c>
      <c r="H381">
        <f t="shared" si="48"/>
        <v>32.491407712928236</v>
      </c>
      <c r="J381">
        <f t="shared" si="49"/>
        <v>0.41980061362698357</v>
      </c>
      <c r="K381">
        <f t="shared" si="50"/>
        <v>3.279513734150389</v>
      </c>
      <c r="L381">
        <v>0</v>
      </c>
    </row>
    <row r="382" spans="1:12" x14ac:dyDescent="0.4">
      <c r="A382">
        <v>370</v>
      </c>
      <c r="B382">
        <f t="shared" si="45"/>
        <v>7.2384769539078171</v>
      </c>
      <c r="C382">
        <f t="shared" si="46"/>
        <v>0.12599945941610247</v>
      </c>
      <c r="D382">
        <f t="shared" si="51"/>
        <v>139.48172898904019</v>
      </c>
      <c r="E382">
        <f t="shared" si="47"/>
        <v>16.639897028525994</v>
      </c>
      <c r="F382">
        <f t="shared" si="52"/>
        <v>4.1640693580363193</v>
      </c>
      <c r="G382">
        <f t="shared" si="53"/>
        <v>32.784926505400044</v>
      </c>
      <c r="H382">
        <f t="shared" si="48"/>
        <v>32.183127815535272</v>
      </c>
      <c r="J382">
        <f t="shared" si="49"/>
        <v>0.41640693580363192</v>
      </c>
      <c r="K382">
        <f t="shared" si="50"/>
        <v>3.2784926505400045</v>
      </c>
      <c r="L382">
        <v>0</v>
      </c>
    </row>
    <row r="383" spans="1:12" x14ac:dyDescent="0.4">
      <c r="A383">
        <v>371</v>
      </c>
      <c r="B383">
        <f t="shared" si="45"/>
        <v>7.1823647294589179</v>
      </c>
      <c r="C383">
        <f t="shared" si="46"/>
        <v>0.12502786114082579</v>
      </c>
      <c r="D383">
        <f t="shared" si="51"/>
        <v>139.74955923871792</v>
      </c>
      <c r="E383">
        <f t="shared" si="47"/>
        <v>16.534038015911577</v>
      </c>
      <c r="F383">
        <f t="shared" si="52"/>
        <v>4.1301710501828017</v>
      </c>
      <c r="G383">
        <f t="shared" si="53"/>
        <v>32.774795273256842</v>
      </c>
      <c r="H383">
        <f t="shared" si="48"/>
        <v>31.876516150317098</v>
      </c>
      <c r="J383">
        <f t="shared" si="49"/>
        <v>0.41301710501828015</v>
      </c>
      <c r="K383">
        <f t="shared" si="50"/>
        <v>3.277479527325684</v>
      </c>
      <c r="L383">
        <v>0</v>
      </c>
    </row>
    <row r="384" spans="1:12" x14ac:dyDescent="0.4">
      <c r="A384">
        <v>372</v>
      </c>
      <c r="B384">
        <f t="shared" si="45"/>
        <v>7.1262525050100187</v>
      </c>
      <c r="C384">
        <f t="shared" si="46"/>
        <v>0.12405614294973125</v>
      </c>
      <c r="D384">
        <f t="shared" si="51"/>
        <v>140.01811237705874</v>
      </c>
      <c r="E384">
        <f t="shared" si="47"/>
        <v>16.427817558965614</v>
      </c>
      <c r="F384">
        <f t="shared" si="52"/>
        <v>4.0963108904717132</v>
      </c>
      <c r="G384">
        <f t="shared" si="53"/>
        <v>32.764743552683626</v>
      </c>
      <c r="H384">
        <f t="shared" si="48"/>
        <v>31.571549518779165</v>
      </c>
      <c r="J384">
        <f t="shared" si="49"/>
        <v>0.40963108904717133</v>
      </c>
      <c r="K384">
        <f t="shared" si="50"/>
        <v>3.2764743552683626</v>
      </c>
      <c r="L384">
        <v>0</v>
      </c>
    </row>
    <row r="385" spans="1:12" x14ac:dyDescent="0.4">
      <c r="A385">
        <v>373</v>
      </c>
      <c r="B385">
        <f t="shared" si="45"/>
        <v>7.0701402805611231</v>
      </c>
      <c r="C385">
        <f t="shared" si="46"/>
        <v>0.12308430577480628</v>
      </c>
      <c r="D385">
        <f t="shared" si="51"/>
        <v>140.28738840406263</v>
      </c>
      <c r="E385">
        <f t="shared" si="47"/>
        <v>16.321235657688121</v>
      </c>
      <c r="F385">
        <f t="shared" si="52"/>
        <v>4.0624885574768177</v>
      </c>
      <c r="G385">
        <f t="shared" si="53"/>
        <v>32.754771252761628</v>
      </c>
      <c r="H385">
        <f t="shared" si="48"/>
        <v>31.268204988201685</v>
      </c>
      <c r="J385">
        <f t="shared" si="49"/>
        <v>0.40624885574768177</v>
      </c>
      <c r="K385">
        <f t="shared" si="50"/>
        <v>3.2754771252761627</v>
      </c>
      <c r="L385">
        <v>0</v>
      </c>
    </row>
    <row r="386" spans="1:12" x14ac:dyDescent="0.4">
      <c r="A386">
        <v>374</v>
      </c>
      <c r="B386">
        <f t="shared" si="45"/>
        <v>7.0140280561122239</v>
      </c>
      <c r="C386">
        <f t="shared" si="46"/>
        <v>0.12211235054815221</v>
      </c>
      <c r="D386">
        <f t="shared" si="51"/>
        <v>140.55738731972963</v>
      </c>
      <c r="E386">
        <f t="shared" si="47"/>
        <v>16.214292312079067</v>
      </c>
      <c r="F386">
        <f t="shared" si="52"/>
        <v>4.0287037305743656</v>
      </c>
      <c r="G386">
        <f t="shared" si="53"/>
        <v>32.744878284051779</v>
      </c>
      <c r="H386">
        <f t="shared" si="48"/>
        <v>30.966459886587216</v>
      </c>
      <c r="J386">
        <f t="shared" si="49"/>
        <v>0.40287037305743656</v>
      </c>
      <c r="K386">
        <f t="shared" si="50"/>
        <v>3.2744878284051779</v>
      </c>
      <c r="L386">
        <v>0</v>
      </c>
    </row>
    <row r="387" spans="1:12" x14ac:dyDescent="0.4">
      <c r="A387">
        <v>375</v>
      </c>
      <c r="B387">
        <f t="shared" si="45"/>
        <v>6.9579158316633247</v>
      </c>
      <c r="C387">
        <f t="shared" si="46"/>
        <v>0.12114027820198377</v>
      </c>
      <c r="D387">
        <f t="shared" si="51"/>
        <v>140.82810912405975</v>
      </c>
      <c r="E387">
        <f t="shared" si="47"/>
        <v>16.106987522138468</v>
      </c>
      <c r="F387">
        <f t="shared" si="52"/>
        <v>3.9949560899342886</v>
      </c>
      <c r="G387">
        <f t="shared" si="53"/>
        <v>32.735064558602517</v>
      </c>
      <c r="H387">
        <f t="shared" si="48"/>
        <v>30.666291797690697</v>
      </c>
      <c r="J387">
        <f t="shared" si="49"/>
        <v>0.39949560899342884</v>
      </c>
      <c r="K387">
        <f t="shared" si="50"/>
        <v>3.2735064558602516</v>
      </c>
      <c r="L387">
        <v>0</v>
      </c>
    </row>
    <row r="388" spans="1:12" x14ac:dyDescent="0.4">
      <c r="A388">
        <v>376</v>
      </c>
      <c r="B388">
        <f t="shared" si="45"/>
        <v>6.9018036072144291</v>
      </c>
      <c r="C388">
        <f t="shared" si="46"/>
        <v>0.12016808966862798</v>
      </c>
      <c r="D388">
        <f t="shared" si="51"/>
        <v>141.09955381705294</v>
      </c>
      <c r="E388">
        <f t="shared" si="47"/>
        <v>15.999321287866323</v>
      </c>
      <c r="F388">
        <f t="shared" si="52"/>
        <v>3.9612453165113339</v>
      </c>
      <c r="G388">
        <f t="shared" si="53"/>
        <v>32.725329989957636</v>
      </c>
      <c r="H388">
        <f t="shared" si="48"/>
        <v>30.367678556130031</v>
      </c>
      <c r="J388">
        <f t="shared" si="49"/>
        <v>0.39612453165113337</v>
      </c>
      <c r="K388">
        <f t="shared" si="50"/>
        <v>3.2725329989957634</v>
      </c>
      <c r="L388">
        <v>0</v>
      </c>
    </row>
    <row r="389" spans="1:12" x14ac:dyDescent="0.4">
      <c r="A389">
        <v>377</v>
      </c>
      <c r="B389">
        <f t="shared" si="45"/>
        <v>6.8456913827655299</v>
      </c>
      <c r="C389">
        <f t="shared" si="46"/>
        <v>0.11919578588052318</v>
      </c>
      <c r="D389">
        <f t="shared" si="51"/>
        <v>141.37172139870924</v>
      </c>
      <c r="E389">
        <f t="shared" si="47"/>
        <v>15.891293609262618</v>
      </c>
      <c r="F389">
        <f t="shared" si="52"/>
        <v>3.9275710920361329</v>
      </c>
      <c r="G389">
        <f t="shared" si="53"/>
        <v>32.715674493164194</v>
      </c>
      <c r="H389">
        <f t="shared" si="48"/>
        <v>30.070598242574814</v>
      </c>
      <c r="J389">
        <f t="shared" si="49"/>
        <v>0.39275710920361329</v>
      </c>
      <c r="K389">
        <f t="shared" si="50"/>
        <v>3.2715674493164193</v>
      </c>
      <c r="L389">
        <v>0</v>
      </c>
    </row>
    <row r="390" spans="1:12" x14ac:dyDescent="0.4">
      <c r="A390">
        <v>378</v>
      </c>
      <c r="B390">
        <f t="shared" si="45"/>
        <v>6.7895791583166343</v>
      </c>
      <c r="C390">
        <f t="shared" si="46"/>
        <v>0.11822336777021848</v>
      </c>
      <c r="D390">
        <f t="shared" si="51"/>
        <v>141.64461186902864</v>
      </c>
      <c r="E390">
        <f t="shared" si="47"/>
        <v>15.782904486327368</v>
      </c>
      <c r="F390">
        <f t="shared" si="52"/>
        <v>3.8939330990063463</v>
      </c>
      <c r="G390">
        <f t="shared" si="53"/>
        <v>32.706097984780421</v>
      </c>
      <c r="H390">
        <f t="shared" si="48"/>
        <v>29.775029179012073</v>
      </c>
      <c r="J390">
        <f t="shared" si="49"/>
        <v>0.38939330990063464</v>
      </c>
      <c r="K390">
        <f t="shared" si="50"/>
        <v>3.2706097984780422</v>
      </c>
      <c r="L390">
        <v>0</v>
      </c>
    </row>
    <row r="391" spans="1:12" x14ac:dyDescent="0.4">
      <c r="A391">
        <v>379</v>
      </c>
      <c r="B391">
        <f t="shared" si="45"/>
        <v>6.7334669338677351</v>
      </c>
      <c r="C391">
        <f t="shared" si="46"/>
        <v>0.11725083627037236</v>
      </c>
      <c r="D391">
        <f t="shared" si="51"/>
        <v>141.91822522801112</v>
      </c>
      <c r="E391">
        <f t="shared" si="47"/>
        <v>15.674153919060572</v>
      </c>
      <c r="F391">
        <f t="shared" si="52"/>
        <v>3.8603310206776436</v>
      </c>
      <c r="G391">
        <f t="shared" si="53"/>
        <v>32.696600382883709</v>
      </c>
      <c r="H391">
        <f t="shared" si="48"/>
        <v>29.480949924086236</v>
      </c>
      <c r="J391">
        <f t="shared" si="49"/>
        <v>0.38603310206776437</v>
      </c>
      <c r="K391">
        <f t="shared" si="50"/>
        <v>3.2696600382883707</v>
      </c>
      <c r="L391">
        <v>0</v>
      </c>
    </row>
    <row r="392" spans="1:12" x14ac:dyDescent="0.4">
      <c r="A392">
        <v>380</v>
      </c>
      <c r="B392">
        <f t="shared" si="45"/>
        <v>6.6773547094188359</v>
      </c>
      <c r="C392">
        <f t="shared" si="46"/>
        <v>0.11627819231375226</v>
      </c>
      <c r="D392">
        <f t="shared" si="51"/>
        <v>142.19256147565673</v>
      </c>
      <c r="E392">
        <f t="shared" si="47"/>
        <v>15.565041907462216</v>
      </c>
      <c r="F392">
        <f t="shared" si="52"/>
        <v>3.8267645410547453</v>
      </c>
      <c r="G392">
        <f t="shared" si="53"/>
        <v>32.687181607078593</v>
      </c>
      <c r="H392">
        <f t="shared" si="48"/>
        <v>29.188339268511982</v>
      </c>
      <c r="J392">
        <f t="shared" si="49"/>
        <v>0.38267645410547452</v>
      </c>
      <c r="K392">
        <f t="shared" si="50"/>
        <v>3.2687181607078593</v>
      </c>
      <c r="L392">
        <v>0</v>
      </c>
    </row>
    <row r="393" spans="1:12" x14ac:dyDescent="0.4">
      <c r="A393">
        <v>381</v>
      </c>
      <c r="B393">
        <f t="shared" si="45"/>
        <v>6.6212424849699403</v>
      </c>
      <c r="C393">
        <f t="shared" si="46"/>
        <v>0.11530543683323348</v>
      </c>
      <c r="D393">
        <f t="shared" si="51"/>
        <v>142.4676206119654</v>
      </c>
      <c r="E393">
        <f t="shared" si="47"/>
        <v>15.455568451532329</v>
      </c>
      <c r="F393">
        <f t="shared" si="52"/>
        <v>3.7932333448824171</v>
      </c>
      <c r="G393">
        <f t="shared" si="53"/>
        <v>32.67784157850484</v>
      </c>
      <c r="H393">
        <f t="shared" si="48"/>
        <v>28.897176230558166</v>
      </c>
      <c r="J393">
        <f t="shared" si="49"/>
        <v>0.37932333448824174</v>
      </c>
      <c r="K393">
        <f t="shared" si="50"/>
        <v>3.267784157850484</v>
      </c>
      <c r="L393">
        <v>0</v>
      </c>
    </row>
    <row r="394" spans="1:12" x14ac:dyDescent="0.4">
      <c r="A394">
        <v>382</v>
      </c>
      <c r="B394">
        <f t="shared" si="45"/>
        <v>6.5651302605210411</v>
      </c>
      <c r="C394">
        <f t="shared" si="46"/>
        <v>0.11433257076179811</v>
      </c>
      <c r="D394">
        <f t="shared" si="51"/>
        <v>142.74340263693722</v>
      </c>
      <c r="E394">
        <f t="shared" si="47"/>
        <v>15.345733551270868</v>
      </c>
      <c r="F394">
        <f t="shared" si="52"/>
        <v>3.7597371176363907</v>
      </c>
      <c r="G394">
        <f t="shared" si="53"/>
        <v>32.668580219845502</v>
      </c>
      <c r="H394">
        <f t="shared" si="48"/>
        <v>28.607440051600573</v>
      </c>
      <c r="J394">
        <f t="shared" si="49"/>
        <v>0.37597371176363908</v>
      </c>
      <c r="K394">
        <f t="shared" si="50"/>
        <v>3.2668580219845502</v>
      </c>
      <c r="L394">
        <v>0</v>
      </c>
    </row>
    <row r="395" spans="1:12" x14ac:dyDescent="0.4">
      <c r="A395">
        <v>383</v>
      </c>
      <c r="B395">
        <f t="shared" si="45"/>
        <v>6.5090180360721455</v>
      </c>
      <c r="C395">
        <f t="shared" si="46"/>
        <v>0.11335959503253451</v>
      </c>
      <c r="D395">
        <f t="shared" si="51"/>
        <v>143.01990755057207</v>
      </c>
      <c r="E395">
        <f t="shared" si="47"/>
        <v>15.23553720667789</v>
      </c>
      <c r="F395">
        <f t="shared" si="52"/>
        <v>3.7262755455143362</v>
      </c>
      <c r="G395">
        <f t="shared" si="53"/>
        <v>32.659397455335103</v>
      </c>
      <c r="H395">
        <f t="shared" si="48"/>
        <v>28.319110191742414</v>
      </c>
      <c r="J395">
        <f t="shared" si="49"/>
        <v>0.37262755455143359</v>
      </c>
      <c r="K395">
        <f t="shared" si="50"/>
        <v>3.2659397455335104</v>
      </c>
      <c r="L395">
        <v>0</v>
      </c>
    </row>
    <row r="396" spans="1:12" x14ac:dyDescent="0.4">
      <c r="A396">
        <v>384</v>
      </c>
      <c r="B396">
        <f t="shared" ref="B396:B459" si="54">IF(A396="",NA(),-$B$3/($B$2-1)*A396+$B$3)</f>
        <v>6.4529058116232463</v>
      </c>
      <c r="C396">
        <f t="shared" ref="C396:C459" si="55">SIN(RADIANS(B396))</f>
        <v>0.11238651057863605</v>
      </c>
      <c r="D396">
        <f t="shared" si="51"/>
        <v>143.29713535287007</v>
      </c>
      <c r="E396">
        <f t="shared" ref="E396:E459" si="56">IFERROR(90-(B396+D396)/2,IF($B$2-1=A396,E395,NA()))</f>
        <v>15.124979417753337</v>
      </c>
      <c r="F396">
        <f t="shared" si="52"/>
        <v>3.6928483154267222</v>
      </c>
      <c r="G396">
        <f t="shared" si="53"/>
        <v>32.650293210767813</v>
      </c>
      <c r="H396">
        <f t="shared" ref="H396:H459" si="57">IF(A396="",NA(),F396-G396/TAN(RADIANS(270-D396)))</f>
        <v>28.032166325500036</v>
      </c>
      <c r="J396">
        <f t="shared" ref="J396:J459" si="58">IF(A396="",NA(),F396/10)</f>
        <v>0.36928483154267222</v>
      </c>
      <c r="K396">
        <f t="shared" ref="K396:K459" si="59">IF(A396="",NA(),G396/10)</f>
        <v>3.2650293210767813</v>
      </c>
      <c r="L396">
        <v>0</v>
      </c>
    </row>
    <row r="397" spans="1:12" x14ac:dyDescent="0.4">
      <c r="A397">
        <v>385</v>
      </c>
      <c r="B397">
        <f t="shared" si="54"/>
        <v>6.3967935871743471</v>
      </c>
      <c r="C397">
        <f t="shared" si="55"/>
        <v>0.11141331833340047</v>
      </c>
      <c r="D397">
        <f t="shared" ref="D397:D460" si="60" xml:space="preserve"> IF(A397="", NA(), MEDIAN(90, 180, $F$3*B397^2 - ((90+$F$3*$B$3^2)/$B$3)*B397 + 180))</f>
        <v>143.57508604383116</v>
      </c>
      <c r="E397">
        <f t="shared" si="56"/>
        <v>15.014060184497239</v>
      </c>
      <c r="F397">
        <f t="shared" ref="F397:F460" si="61">IFERROR(F396*(TAN(RADIANS(E396))-TAN(RADIANS(90-B396)))/(TAN(RADIANS(E396))-TAN(RADIANS(90-B397))),IF($B$2-1=A397,0,NA()))</f>
        <v>3.6594551149876819</v>
      </c>
      <c r="G397">
        <f t="shared" ref="G397:G460" si="62">IFERROR(TAN(RADIANS(90-B397))*F397,IF($B$2-1=A397,G396,NA()))</f>
        <v>32.641267413505695</v>
      </c>
      <c r="H397">
        <f t="shared" si="57"/>
        <v>27.746588337552996</v>
      </c>
      <c r="J397">
        <f t="shared" si="58"/>
        <v>0.36594551149876819</v>
      </c>
      <c r="K397">
        <f t="shared" si="59"/>
        <v>3.2641267413505695</v>
      </c>
      <c r="L397">
        <v>0</v>
      </c>
    </row>
    <row r="398" spans="1:12" x14ac:dyDescent="0.4">
      <c r="A398">
        <v>386</v>
      </c>
      <c r="B398">
        <f t="shared" si="54"/>
        <v>6.3406813627254515</v>
      </c>
      <c r="C398">
        <f t="shared" si="55"/>
        <v>0.11044001923022898</v>
      </c>
      <c r="D398">
        <f t="shared" si="60"/>
        <v>143.85375962345532</v>
      </c>
      <c r="E398">
        <f t="shared" si="56"/>
        <v>14.90277950690961</v>
      </c>
      <c r="F398">
        <f t="shared" si="61"/>
        <v>3.6260956325058848</v>
      </c>
      <c r="G398">
        <f t="shared" si="62"/>
        <v>32.63231999248702</v>
      </c>
      <c r="H398">
        <f t="shared" si="57"/>
        <v>27.462356318556274</v>
      </c>
      <c r="J398">
        <f t="shared" si="58"/>
        <v>0.36260956325058846</v>
      </c>
      <c r="K398">
        <f t="shared" si="59"/>
        <v>3.2632319992487018</v>
      </c>
      <c r="L398">
        <v>0</v>
      </c>
    </row>
    <row r="399" spans="1:12" x14ac:dyDescent="0.4">
      <c r="A399">
        <v>387</v>
      </c>
      <c r="B399">
        <f t="shared" si="54"/>
        <v>6.2845691382765523</v>
      </c>
      <c r="C399">
        <f t="shared" si="55"/>
        <v>0.109466614202625</v>
      </c>
      <c r="D399">
        <f t="shared" si="60"/>
        <v>144.13315609174259</v>
      </c>
      <c r="E399">
        <f t="shared" si="56"/>
        <v>14.791137384990435</v>
      </c>
      <c r="F399">
        <f t="shared" si="61"/>
        <v>3.5927695569752549</v>
      </c>
      <c r="G399">
        <f t="shared" si="62"/>
        <v>32.623450878234593</v>
      </c>
      <c r="H399">
        <f t="shared" si="57"/>
        <v>27.179450561012914</v>
      </c>
      <c r="J399">
        <f t="shared" si="58"/>
        <v>0.35927695569752549</v>
      </c>
      <c r="K399">
        <f t="shared" si="59"/>
        <v>3.2623450878234594</v>
      </c>
      <c r="L399">
        <v>0</v>
      </c>
    </row>
    <row r="400" spans="1:12" x14ac:dyDescent="0.4">
      <c r="A400">
        <v>388</v>
      </c>
      <c r="B400">
        <f t="shared" si="54"/>
        <v>6.2284569138276566</v>
      </c>
      <c r="C400">
        <f t="shared" si="55"/>
        <v>0.10849310418419389</v>
      </c>
      <c r="D400">
        <f t="shared" si="60"/>
        <v>144.41327544869296</v>
      </c>
      <c r="E400">
        <f t="shared" si="56"/>
        <v>14.6791338187397</v>
      </c>
      <c r="F400">
        <f t="shared" si="61"/>
        <v>3.5594765780658224</v>
      </c>
      <c r="G400">
        <f t="shared" si="62"/>
        <v>32.614660002864184</v>
      </c>
      <c r="H400">
        <f t="shared" si="57"/>
        <v>26.897851555206167</v>
      </c>
      <c r="J400">
        <f t="shared" si="58"/>
        <v>0.35594765780658222</v>
      </c>
      <c r="K400">
        <f t="shared" si="59"/>
        <v>3.2614660002864184</v>
      </c>
      <c r="L400">
        <v>0</v>
      </c>
    </row>
    <row r="401" spans="1:12" x14ac:dyDescent="0.4">
      <c r="A401">
        <v>389</v>
      </c>
      <c r="B401">
        <f t="shared" si="54"/>
        <v>6.1723446893787575</v>
      </c>
      <c r="C401">
        <f t="shared" si="55"/>
        <v>0.10751949010864138</v>
      </c>
      <c r="D401">
        <f t="shared" si="60"/>
        <v>144.69411769430644</v>
      </c>
      <c r="E401">
        <f t="shared" si="56"/>
        <v>14.566768808157406</v>
      </c>
      <c r="F401">
        <f t="shared" si="61"/>
        <v>3.5262163861144185</v>
      </c>
      <c r="G401">
        <f t="shared" si="62"/>
        <v>32.605947300093014</v>
      </c>
      <c r="H401">
        <f t="shared" si="57"/>
        <v>26.617539985188799</v>
      </c>
      <c r="J401">
        <f t="shared" si="58"/>
        <v>0.35262163861144186</v>
      </c>
      <c r="K401">
        <f t="shared" si="59"/>
        <v>3.2605947300093012</v>
      </c>
      <c r="L401">
        <v>0</v>
      </c>
    </row>
    <row r="402" spans="1:12" x14ac:dyDescent="0.4">
      <c r="A402">
        <v>390</v>
      </c>
      <c r="B402">
        <f t="shared" si="54"/>
        <v>6.1162324649298583</v>
      </c>
      <c r="C402">
        <f t="shared" si="55"/>
        <v>0.10654577290977325</v>
      </c>
      <c r="D402">
        <f t="shared" si="60"/>
        <v>144.97568282858302</v>
      </c>
      <c r="E402">
        <f t="shared" si="56"/>
        <v>14.454042353243565</v>
      </c>
      <c r="F402">
        <f t="shared" si="61"/>
        <v>3.4929886721153798</v>
      </c>
      <c r="G402">
        <f t="shared" si="62"/>
        <v>32.597312705248257</v>
      </c>
      <c r="H402">
        <f t="shared" si="57"/>
        <v>26.338496724828481</v>
      </c>
      <c r="J402">
        <f t="shared" si="58"/>
        <v>0.34929886721153797</v>
      </c>
      <c r="K402">
        <f t="shared" si="59"/>
        <v>3.2597312705248256</v>
      </c>
      <c r="L402">
        <v>0</v>
      </c>
    </row>
    <row r="403" spans="1:12" x14ac:dyDescent="0.4">
      <c r="A403">
        <v>391</v>
      </c>
      <c r="B403">
        <f t="shared" si="54"/>
        <v>6.0601202404809627</v>
      </c>
      <c r="C403">
        <f t="shared" si="55"/>
        <v>0.10557195352149415</v>
      </c>
      <c r="D403">
        <f t="shared" si="60"/>
        <v>145.25797085152269</v>
      </c>
      <c r="E403">
        <f t="shared" si="56"/>
        <v>14.340954453998179</v>
      </c>
      <c r="F403">
        <f t="shared" si="61"/>
        <v>3.4597931277112597</v>
      </c>
      <c r="G403">
        <f t="shared" si="62"/>
        <v>32.588756155275647</v>
      </c>
      <c r="H403">
        <f t="shared" si="57"/>
        <v>26.060702833907577</v>
      </c>
      <c r="J403">
        <f t="shared" si="58"/>
        <v>0.34597931277112598</v>
      </c>
      <c r="K403">
        <f t="shared" si="59"/>
        <v>3.2588756155275647</v>
      </c>
      <c r="L403">
        <v>0</v>
      </c>
    </row>
    <row r="404" spans="1:12" x14ac:dyDescent="0.4">
      <c r="A404">
        <v>392</v>
      </c>
      <c r="B404">
        <f t="shared" si="54"/>
        <v>6.0040080160320635</v>
      </c>
      <c r="C404">
        <f t="shared" si="55"/>
        <v>0.10459803287780653</v>
      </c>
      <c r="D404">
        <f t="shared" si="60"/>
        <v>145.54098176312544</v>
      </c>
      <c r="E404">
        <f t="shared" si="56"/>
        <v>14.227505110421248</v>
      </c>
      <c r="F404">
        <f t="shared" si="61"/>
        <v>3.426629445183389</v>
      </c>
      <c r="G404">
        <f t="shared" si="62"/>
        <v>32.580277588748125</v>
      </c>
      <c r="H404">
        <f t="shared" si="57"/>
        <v>25.784139554275889</v>
      </c>
      <c r="J404">
        <f t="shared" si="58"/>
        <v>0.3426629445183389</v>
      </c>
      <c r="K404">
        <f t="shared" si="59"/>
        <v>3.2580277588748126</v>
      </c>
      <c r="L404">
        <v>0</v>
      </c>
    </row>
    <row r="405" spans="1:12" x14ac:dyDescent="0.4">
      <c r="A405">
        <v>393</v>
      </c>
      <c r="B405">
        <f t="shared" si="54"/>
        <v>5.9478957915831678</v>
      </c>
      <c r="C405">
        <f t="shared" si="55"/>
        <v>0.10362401191281029</v>
      </c>
      <c r="D405">
        <f t="shared" si="60"/>
        <v>145.82471556339129</v>
      </c>
      <c r="E405">
        <f t="shared" si="56"/>
        <v>14.113694322512771</v>
      </c>
      <c r="F405">
        <f t="shared" si="61"/>
        <v>3.3934973174425607</v>
      </c>
      <c r="G405">
        <f t="shared" si="62"/>
        <v>32.571876945874614</v>
      </c>
      <c r="H405">
        <f t="shared" si="57"/>
        <v>25.508788306054832</v>
      </c>
      <c r="J405">
        <f t="shared" si="58"/>
        <v>0.33934973174425609</v>
      </c>
      <c r="K405">
        <f t="shared" si="59"/>
        <v>3.2571876945874614</v>
      </c>
      <c r="L405">
        <v>0</v>
      </c>
    </row>
    <row r="406" spans="1:12" x14ac:dyDescent="0.4">
      <c r="A406">
        <v>394</v>
      </c>
      <c r="B406">
        <f t="shared" si="54"/>
        <v>5.8917835671342687</v>
      </c>
      <c r="C406">
        <f t="shared" si="55"/>
        <v>0.10264989156070121</v>
      </c>
      <c r="D406">
        <f t="shared" si="60"/>
        <v>146.10917225232026</v>
      </c>
      <c r="E406">
        <f t="shared" si="56"/>
        <v>13.999522090272734</v>
      </c>
      <c r="F406">
        <f t="shared" si="61"/>
        <v>3.3603964380195603</v>
      </c>
      <c r="G406">
        <f t="shared" si="62"/>
        <v>32.563554168508752</v>
      </c>
      <c r="H406">
        <f t="shared" si="57"/>
        <v>25.234630683891741</v>
      </c>
      <c r="J406">
        <f t="shared" si="58"/>
        <v>0.33603964380195606</v>
      </c>
      <c r="K406">
        <f t="shared" si="59"/>
        <v>3.2563554168508753</v>
      </c>
      <c r="L406">
        <v>0</v>
      </c>
    </row>
    <row r="407" spans="1:12" x14ac:dyDescent="0.4">
      <c r="A407">
        <v>395</v>
      </c>
      <c r="B407">
        <f t="shared" si="54"/>
        <v>5.8356713426853695</v>
      </c>
      <c r="C407">
        <f t="shared" si="55"/>
        <v>0.10167567275577065</v>
      </c>
      <c r="D407">
        <f t="shared" si="60"/>
        <v>146.39435182991235</v>
      </c>
      <c r="E407">
        <f t="shared" si="56"/>
        <v>13.884988413701137</v>
      </c>
      <c r="F407">
        <f t="shared" si="61"/>
        <v>3.3273265010557114</v>
      </c>
      <c r="G407">
        <f t="shared" si="62"/>
        <v>32.555309200157808</v>
      </c>
      <c r="H407">
        <f t="shared" si="57"/>
        <v>24.961648453262651</v>
      </c>
      <c r="J407">
        <f t="shared" si="58"/>
        <v>0.33273265010557113</v>
      </c>
      <c r="K407">
        <f t="shared" si="59"/>
        <v>3.2555309200157807</v>
      </c>
      <c r="L407">
        <v>0</v>
      </c>
    </row>
    <row r="408" spans="1:12" x14ac:dyDescent="0.4">
      <c r="A408">
        <v>396</v>
      </c>
      <c r="B408">
        <f t="shared" si="54"/>
        <v>5.7795591182364738</v>
      </c>
      <c r="C408">
        <f t="shared" si="55"/>
        <v>0.10070135643240433</v>
      </c>
      <c r="D408">
        <f t="shared" si="60"/>
        <v>146.68025429616748</v>
      </c>
      <c r="E408">
        <f t="shared" si="56"/>
        <v>13.770093292798023</v>
      </c>
      <c r="F408">
        <f t="shared" si="61"/>
        <v>3.2942872012933888</v>
      </c>
      <c r="G408">
        <f t="shared" si="62"/>
        <v>32.547141985991601</v>
      </c>
      <c r="H408">
        <f t="shared" si="57"/>
        <v>24.689823546822556</v>
      </c>
      <c r="J408">
        <f t="shared" si="58"/>
        <v>0.32942872012933888</v>
      </c>
      <c r="K408">
        <f t="shared" si="59"/>
        <v>3.2547141985991601</v>
      </c>
      <c r="L408">
        <v>0</v>
      </c>
    </row>
    <row r="409" spans="1:12" x14ac:dyDescent="0.4">
      <c r="A409">
        <v>397</v>
      </c>
      <c r="B409">
        <f t="shared" si="54"/>
        <v>5.7234468937875747</v>
      </c>
      <c r="C409">
        <f t="shared" si="55"/>
        <v>9.9726943525081366E-2</v>
      </c>
      <c r="D409">
        <f t="shared" si="60"/>
        <v>146.96687965108575</v>
      </c>
      <c r="E409">
        <f t="shared" si="56"/>
        <v>13.654836727563335</v>
      </c>
      <c r="F409">
        <f t="shared" si="61"/>
        <v>3.2612782340664532</v>
      </c>
      <c r="G409">
        <f t="shared" si="62"/>
        <v>32.539052472851516</v>
      </c>
      <c r="H409">
        <f t="shared" si="57"/>
        <v>24.419138060801018</v>
      </c>
      <c r="J409">
        <f t="shared" si="58"/>
        <v>0.32612782340664531</v>
      </c>
      <c r="K409">
        <f t="shared" si="59"/>
        <v>3.2539052472851515</v>
      </c>
      <c r="L409">
        <v>0</v>
      </c>
    </row>
    <row r="410" spans="1:12" x14ac:dyDescent="0.4">
      <c r="A410">
        <v>398</v>
      </c>
      <c r="B410">
        <f t="shared" si="54"/>
        <v>5.6673346693386755</v>
      </c>
      <c r="C410">
        <f t="shared" si="55"/>
        <v>9.8752434968373701E-2</v>
      </c>
      <c r="D410">
        <f t="shared" si="60"/>
        <v>147.25422789466711</v>
      </c>
      <c r="E410">
        <f t="shared" si="56"/>
        <v>13.539218717997102</v>
      </c>
      <c r="F410">
        <f t="shared" si="61"/>
        <v>3.2282992952907246</v>
      </c>
      <c r="G410">
        <f t="shared" si="62"/>
        <v>32.531040609259605</v>
      </c>
      <c r="H410">
        <f t="shared" si="57"/>
        <v>24.149574251442907</v>
      </c>
      <c r="J410">
        <f t="shared" si="58"/>
        <v>0.32282992952907247</v>
      </c>
      <c r="K410">
        <f t="shared" si="59"/>
        <v>3.2531040609259607</v>
      </c>
      <c r="L410">
        <v>0</v>
      </c>
    </row>
    <row r="411" spans="1:12" x14ac:dyDescent="0.4">
      <c r="A411">
        <v>399</v>
      </c>
      <c r="B411">
        <f t="shared" si="54"/>
        <v>5.6112224448897798</v>
      </c>
      <c r="C411">
        <f t="shared" si="55"/>
        <v>9.777783169694497E-2</v>
      </c>
      <c r="D411">
        <f t="shared" si="60"/>
        <v>147.54229902691154</v>
      </c>
      <c r="E411">
        <f t="shared" si="56"/>
        <v>13.423239264099337</v>
      </c>
      <c r="F411">
        <f t="shared" si="61"/>
        <v>3.1953500814543769</v>
      </c>
      <c r="G411">
        <f t="shared" si="62"/>
        <v>32.523106345427777</v>
      </c>
      <c r="H411">
        <f t="shared" si="57"/>
        <v>23.881114531491832</v>
      </c>
      <c r="J411">
        <f t="shared" si="58"/>
        <v>0.31953500814543767</v>
      </c>
      <c r="K411">
        <f t="shared" si="59"/>
        <v>3.2523106345427779</v>
      </c>
      <c r="L411">
        <v>0</v>
      </c>
    </row>
    <row r="412" spans="1:12" x14ac:dyDescent="0.4">
      <c r="A412">
        <v>400</v>
      </c>
      <c r="B412">
        <f t="shared" si="54"/>
        <v>5.5551102204408807</v>
      </c>
      <c r="C412">
        <f t="shared" si="55"/>
        <v>9.6803134645549488E-2</v>
      </c>
      <c r="D412">
        <f t="shared" si="60"/>
        <v>147.83109304781908</v>
      </c>
      <c r="E412">
        <f t="shared" si="56"/>
        <v>13.306898365870012</v>
      </c>
      <c r="F412">
        <f t="shared" si="61"/>
        <v>3.1624302896082646</v>
      </c>
      <c r="G412">
        <f t="shared" si="62"/>
        <v>32.515249633267032</v>
      </c>
      <c r="H412">
        <f t="shared" si="57"/>
        <v>23.61374146671546</v>
      </c>
      <c r="J412">
        <f t="shared" si="58"/>
        <v>0.31624302896082646</v>
      </c>
      <c r="K412">
        <f t="shared" si="59"/>
        <v>3.2515249633267032</v>
      </c>
      <c r="L412">
        <v>0</v>
      </c>
    </row>
    <row r="413" spans="1:12" x14ac:dyDescent="0.4">
      <c r="A413">
        <v>401</v>
      </c>
      <c r="B413">
        <f t="shared" si="54"/>
        <v>5.498997995991985</v>
      </c>
      <c r="C413">
        <f t="shared" si="55"/>
        <v>9.5828344749031763E-2</v>
      </c>
      <c r="D413">
        <f t="shared" si="60"/>
        <v>148.12060995738972</v>
      </c>
      <c r="E413">
        <f t="shared" si="56"/>
        <v>13.190196023309142</v>
      </c>
      <c r="F413">
        <f t="shared" si="61"/>
        <v>3.1295396173562779</v>
      </c>
      <c r="G413">
        <f t="shared" si="62"/>
        <v>32.5074704263968</v>
      </c>
      <c r="H413">
        <f t="shared" si="57"/>
        <v>23.347437772471601</v>
      </c>
      <c r="J413">
        <f t="shared" si="58"/>
        <v>0.31295396173562778</v>
      </c>
      <c r="K413">
        <f t="shared" si="59"/>
        <v>3.2507470426396798</v>
      </c>
      <c r="L413">
        <v>0</v>
      </c>
    </row>
    <row r="414" spans="1:12" x14ac:dyDescent="0.4">
      <c r="A414">
        <v>402</v>
      </c>
      <c r="B414">
        <f t="shared" si="54"/>
        <v>5.4428857715430858</v>
      </c>
      <c r="C414">
        <f t="shared" si="55"/>
        <v>9.4853462942325134E-2</v>
      </c>
      <c r="D414">
        <f t="shared" si="60"/>
        <v>148.41084975562347</v>
      </c>
      <c r="E414">
        <f t="shared" si="56"/>
        <v>13.073132236416726</v>
      </c>
      <c r="F414">
        <f t="shared" si="61"/>
        <v>3.096677762845601</v>
      </c>
      <c r="G414">
        <f t="shared" si="62"/>
        <v>32.499768680154389</v>
      </c>
      <c r="H414">
        <f t="shared" si="57"/>
        <v>23.082186310313368</v>
      </c>
      <c r="J414">
        <f t="shared" si="58"/>
        <v>0.3096677762845601</v>
      </c>
      <c r="K414">
        <f t="shared" si="59"/>
        <v>3.2499768680154388</v>
      </c>
      <c r="L414">
        <v>0</v>
      </c>
    </row>
    <row r="415" spans="1:12" x14ac:dyDescent="0.4">
      <c r="A415">
        <v>403</v>
      </c>
      <c r="B415">
        <f t="shared" si="54"/>
        <v>5.3867735470941867</v>
      </c>
      <c r="C415">
        <f t="shared" si="55"/>
        <v>9.3878490160451217E-2</v>
      </c>
      <c r="D415">
        <f t="shared" si="60"/>
        <v>148.70181244252032</v>
      </c>
      <c r="E415">
        <f t="shared" si="56"/>
        <v>12.95570700519275</v>
      </c>
      <c r="F415">
        <f t="shared" si="61"/>
        <v>3.0638444247569909</v>
      </c>
      <c r="G415">
        <f t="shared" si="62"/>
        <v>32.492144351604487</v>
      </c>
      <c r="H415">
        <f t="shared" si="57"/>
        <v>22.817970084632343</v>
      </c>
      <c r="J415">
        <f t="shared" si="58"/>
        <v>0.30638444247569907</v>
      </c>
      <c r="K415">
        <f t="shared" si="59"/>
        <v>3.2492144351604488</v>
      </c>
      <c r="L415">
        <v>0</v>
      </c>
    </row>
    <row r="416" spans="1:12" x14ac:dyDescent="0.4">
      <c r="A416">
        <v>404</v>
      </c>
      <c r="B416">
        <f t="shared" si="54"/>
        <v>5.330661322645291</v>
      </c>
      <c r="C416">
        <f t="shared" si="55"/>
        <v>9.2903427338518932E-2</v>
      </c>
      <c r="D416">
        <f t="shared" si="60"/>
        <v>148.99349801808023</v>
      </c>
      <c r="E416">
        <f t="shared" si="56"/>
        <v>12.837920329637242</v>
      </c>
      <c r="F416">
        <f t="shared" si="61"/>
        <v>3.0310393022949924</v>
      </c>
      <c r="G416">
        <f t="shared" si="62"/>
        <v>32.484597399548775</v>
      </c>
      <c r="H416">
        <f t="shared" si="57"/>
        <v>22.554772239338693</v>
      </c>
      <c r="J416">
        <f t="shared" si="58"/>
        <v>0.30310393022949922</v>
      </c>
      <c r="K416">
        <f t="shared" si="59"/>
        <v>3.2484597399548774</v>
      </c>
      <c r="L416">
        <v>0</v>
      </c>
    </row>
    <row r="417" spans="1:12" x14ac:dyDescent="0.4">
      <c r="A417">
        <v>405</v>
      </c>
      <c r="B417">
        <f t="shared" si="54"/>
        <v>5.2745490981963918</v>
      </c>
      <c r="C417">
        <f t="shared" si="55"/>
        <v>9.1928275411723354E-2</v>
      </c>
      <c r="D417">
        <f t="shared" si="60"/>
        <v>149.28590648230329</v>
      </c>
      <c r="E417">
        <f t="shared" si="56"/>
        <v>12.719772209750161</v>
      </c>
      <c r="F417">
        <f t="shared" si="61"/>
        <v>2.9982620951780738</v>
      </c>
      <c r="G417">
        <f t="shared" si="62"/>
        <v>32.477127784535632</v>
      </c>
      <c r="H417">
        <f t="shared" si="57"/>
        <v>22.292576054576312</v>
      </c>
      <c r="J417">
        <f t="shared" si="58"/>
        <v>0.29982620951780736</v>
      </c>
      <c r="K417">
        <f t="shared" si="59"/>
        <v>3.2477127784535633</v>
      </c>
      <c r="L417">
        <v>0</v>
      </c>
    </row>
    <row r="418" spans="1:12" x14ac:dyDescent="0.4">
      <c r="A418">
        <v>406</v>
      </c>
      <c r="B418">
        <f t="shared" si="54"/>
        <v>5.2184368737474962</v>
      </c>
      <c r="C418">
        <f t="shared" si="55"/>
        <v>9.0953035315345265E-2</v>
      </c>
      <c r="D418">
        <f t="shared" si="60"/>
        <v>149.57903783518941</v>
      </c>
      <c r="E418">
        <f t="shared" si="56"/>
        <v>12.601262645531548</v>
      </c>
      <c r="F418">
        <f t="shared" si="61"/>
        <v>2.9655125036287933</v>
      </c>
      <c r="G418">
        <f t="shared" si="62"/>
        <v>32.469735468869899</v>
      </c>
      <c r="H418">
        <f t="shared" si="57"/>
        <v>22.031364943472994</v>
      </c>
      <c r="J418">
        <f t="shared" si="58"/>
        <v>0.29655125036287933</v>
      </c>
      <c r="K418">
        <f t="shared" si="59"/>
        <v>3.24697354688699</v>
      </c>
      <c r="L418">
        <v>0</v>
      </c>
    </row>
    <row r="419" spans="1:12" x14ac:dyDescent="0.4">
      <c r="A419">
        <v>407</v>
      </c>
      <c r="B419">
        <f t="shared" si="54"/>
        <v>5.162324649298597</v>
      </c>
      <c r="C419">
        <f t="shared" si="55"/>
        <v>8.9977707984749772E-2</v>
      </c>
      <c r="D419">
        <f t="shared" si="60"/>
        <v>149.87289207673865</v>
      </c>
      <c r="E419">
        <f t="shared" si="56"/>
        <v>12.482391636981376</v>
      </c>
      <c r="F419">
        <f t="shared" si="61"/>
        <v>2.9327902283638578</v>
      </c>
      <c r="G419">
        <f t="shared" si="62"/>
        <v>32.462420416622827</v>
      </c>
      <c r="H419">
        <f t="shared" si="57"/>
        <v>21.771122448922959</v>
      </c>
      <c r="J419">
        <f t="shared" si="58"/>
        <v>0.29327902283638579</v>
      </c>
      <c r="K419">
        <f t="shared" si="59"/>
        <v>3.2462420416622826</v>
      </c>
      <c r="L419">
        <v>0</v>
      </c>
    </row>
    <row r="420" spans="1:12" x14ac:dyDescent="0.4">
      <c r="A420">
        <v>408</v>
      </c>
      <c r="B420">
        <f t="shared" si="54"/>
        <v>5.1062124248496978</v>
      </c>
      <c r="C420">
        <f t="shared" si="55"/>
        <v>8.9002294355385841E-2</v>
      </c>
      <c r="D420">
        <f t="shared" si="60"/>
        <v>150.16746920695098</v>
      </c>
      <c r="E420">
        <f t="shared" si="56"/>
        <v>12.363159184099658</v>
      </c>
      <c r="F420">
        <f t="shared" si="61"/>
        <v>2.9000949705842194</v>
      </c>
      <c r="G420">
        <f t="shared" si="62"/>
        <v>32.455182593642022</v>
      </c>
      <c r="H420">
        <f t="shared" si="57"/>
        <v>21.511832240401834</v>
      </c>
      <c r="J420">
        <f t="shared" si="58"/>
        <v>0.29000949705842194</v>
      </c>
      <c r="K420">
        <f t="shared" si="59"/>
        <v>3.2455182593642022</v>
      </c>
      <c r="L420">
        <v>0</v>
      </c>
    </row>
    <row r="421" spans="1:12" x14ac:dyDescent="0.4">
      <c r="A421">
        <v>409</v>
      </c>
      <c r="B421">
        <f t="shared" si="54"/>
        <v>5.0501002004008022</v>
      </c>
      <c r="C421">
        <f t="shared" si="55"/>
        <v>8.8026795362785168E-2</v>
      </c>
      <c r="D421">
        <f t="shared" si="60"/>
        <v>150.46276922582641</v>
      </c>
      <c r="E421">
        <f t="shared" si="56"/>
        <v>12.243565286886394</v>
      </c>
      <c r="F421">
        <f t="shared" si="61"/>
        <v>2.8674264319650566</v>
      </c>
      <c r="G421">
        <f t="shared" si="62"/>
        <v>32.448021967561573</v>
      </c>
      <c r="H421">
        <f t="shared" si="57"/>
        <v>21.253478110812022</v>
      </c>
      <c r="J421">
        <f t="shared" si="58"/>
        <v>0.28674264319650566</v>
      </c>
      <c r="K421">
        <f t="shared" si="59"/>
        <v>3.2448021967561571</v>
      </c>
      <c r="L421">
        <v>0</v>
      </c>
    </row>
    <row r="422" spans="1:12" x14ac:dyDescent="0.4">
      <c r="A422">
        <v>410</v>
      </c>
      <c r="B422">
        <f t="shared" si="54"/>
        <v>4.993987975951903</v>
      </c>
      <c r="C422">
        <f t="shared" si="55"/>
        <v>8.7051211942561213E-2</v>
      </c>
      <c r="D422">
        <f t="shared" si="60"/>
        <v>150.75879213336492</v>
      </c>
      <c r="E422">
        <f t="shared" si="56"/>
        <v>12.123609945341585</v>
      </c>
      <c r="F422">
        <f t="shared" si="61"/>
        <v>2.8347843146457521</v>
      </c>
      <c r="G422">
        <f t="shared" si="62"/>
        <v>32.44093850781222</v>
      </c>
      <c r="H422">
        <f t="shared" si="57"/>
        <v>20.996043973357732</v>
      </c>
      <c r="J422">
        <f t="shared" si="58"/>
        <v>0.28347843146457519</v>
      </c>
      <c r="K422">
        <f t="shared" si="59"/>
        <v>3.2440938507812218</v>
      </c>
      <c r="L422">
        <v>0</v>
      </c>
    </row>
    <row r="423" spans="1:12" x14ac:dyDescent="0.4">
      <c r="A423">
        <v>411</v>
      </c>
      <c r="B423">
        <f t="shared" si="54"/>
        <v>4.9378757515030074</v>
      </c>
      <c r="C423">
        <f t="shared" si="55"/>
        <v>8.6075545030408568E-2</v>
      </c>
      <c r="D423">
        <f t="shared" si="60"/>
        <v>151.05553792956653</v>
      </c>
      <c r="E423">
        <f t="shared" si="56"/>
        <v>12.00329315946523</v>
      </c>
      <c r="F423">
        <f t="shared" si="61"/>
        <v>2.8021683212198267</v>
      </c>
      <c r="G423">
        <f t="shared" si="62"/>
        <v>32.433932185631711</v>
      </c>
      <c r="H423">
        <f t="shared" si="57"/>
        <v>20.739513858448529</v>
      </c>
      <c r="J423">
        <f t="shared" si="58"/>
        <v>0.28021683212198267</v>
      </c>
      <c r="K423">
        <f t="shared" si="59"/>
        <v>3.2433932185631713</v>
      </c>
      <c r="L423">
        <v>0</v>
      </c>
    </row>
    <row r="424" spans="1:12" x14ac:dyDescent="0.4">
      <c r="A424">
        <v>412</v>
      </c>
      <c r="B424">
        <f t="shared" si="54"/>
        <v>4.8817635270541082</v>
      </c>
      <c r="C424">
        <f t="shared" si="55"/>
        <v>8.5099795562101718E-2</v>
      </c>
      <c r="D424">
        <f t="shared" si="60"/>
        <v>151.35300661443125</v>
      </c>
      <c r="E424">
        <f t="shared" si="56"/>
        <v>11.882614929257315</v>
      </c>
      <c r="F424">
        <f t="shared" si="61"/>
        <v>2.7695781547247891</v>
      </c>
      <c r="G424">
        <f t="shared" si="62"/>
        <v>32.42700297407518</v>
      </c>
      <c r="H424">
        <f t="shared" si="57"/>
        <v>20.483871910629787</v>
      </c>
      <c r="J424">
        <f t="shared" si="58"/>
        <v>0.27695781547247889</v>
      </c>
      <c r="K424">
        <f t="shared" si="59"/>
        <v>3.2427002974075179</v>
      </c>
      <c r="L424">
        <v>0</v>
      </c>
    </row>
    <row r="425" spans="1:12" x14ac:dyDescent="0.4">
      <c r="A425">
        <v>413</v>
      </c>
      <c r="B425">
        <f t="shared" si="54"/>
        <v>4.825651302605209</v>
      </c>
      <c r="C425">
        <f t="shared" si="55"/>
        <v>8.4123964473494517E-2</v>
      </c>
      <c r="D425">
        <f t="shared" si="60"/>
        <v>151.6511981879591</v>
      </c>
      <c r="E425">
        <f t="shared" si="56"/>
        <v>11.761575254717854</v>
      </c>
      <c r="F425">
        <f t="shared" si="61"/>
        <v>2.7370135186320472</v>
      </c>
      <c r="G425">
        <f t="shared" si="62"/>
        <v>32.420150848025678</v>
      </c>
      <c r="H425">
        <f t="shared" si="57"/>
        <v>20.229102385539651</v>
      </c>
      <c r="J425">
        <f t="shared" si="58"/>
        <v>0.27370135186320471</v>
      </c>
      <c r="K425">
        <f t="shared" si="59"/>
        <v>3.2420150848025679</v>
      </c>
      <c r="L425">
        <v>0</v>
      </c>
    </row>
    <row r="426" spans="1:12" x14ac:dyDescent="0.4">
      <c r="A426">
        <v>414</v>
      </c>
      <c r="B426">
        <f t="shared" si="54"/>
        <v>4.7695390781563134</v>
      </c>
      <c r="C426">
        <f t="shared" si="55"/>
        <v>8.3148052700519059E-2</v>
      </c>
      <c r="D426">
        <f t="shared" si="60"/>
        <v>151.95011265015</v>
      </c>
      <c r="E426">
        <f t="shared" si="56"/>
        <v>11.640174135846848</v>
      </c>
      <c r="F426">
        <f t="shared" si="61"/>
        <v>2.704474116836634</v>
      </c>
      <c r="G426">
        <f t="shared" si="62"/>
        <v>32.413375784204852</v>
      </c>
      <c r="H426">
        <f t="shared" si="57"/>
        <v>19.975189646890783</v>
      </c>
      <c r="J426">
        <f t="shared" si="58"/>
        <v>0.27044741168366337</v>
      </c>
      <c r="K426">
        <f t="shared" si="59"/>
        <v>3.2413375784204854</v>
      </c>
      <c r="L426">
        <v>0</v>
      </c>
    </row>
    <row r="427" spans="1:12" x14ac:dyDescent="0.4">
      <c r="A427">
        <v>415</v>
      </c>
      <c r="B427">
        <f t="shared" si="54"/>
        <v>4.7134268537074142</v>
      </c>
      <c r="C427">
        <f t="shared" si="55"/>
        <v>8.2172061179184672E-2</v>
      </c>
      <c r="D427">
        <f t="shared" si="60"/>
        <v>152.24975000100403</v>
      </c>
      <c r="E427">
        <f t="shared" si="56"/>
        <v>11.518411572644283</v>
      </c>
      <c r="F427">
        <f t="shared" si="61"/>
        <v>2.6719596536469936</v>
      </c>
      <c r="G427">
        <f t="shared" si="62"/>
        <v>32.406677761183673</v>
      </c>
      <c r="H427">
        <f t="shared" si="57"/>
        <v>19.722118163475798</v>
      </c>
      <c r="J427">
        <f t="shared" si="58"/>
        <v>0.26719596536469936</v>
      </c>
      <c r="K427">
        <f t="shared" si="59"/>
        <v>3.2406677761183671</v>
      </c>
      <c r="L427">
        <v>0</v>
      </c>
    </row>
    <row r="428" spans="1:12" x14ac:dyDescent="0.4">
      <c r="A428">
        <v>416</v>
      </c>
      <c r="B428">
        <f t="shared" si="54"/>
        <v>4.657314629258515</v>
      </c>
      <c r="C428">
        <f t="shared" si="55"/>
        <v>8.1195990845577326E-2</v>
      </c>
      <c r="D428">
        <f t="shared" si="60"/>
        <v>152.55011024052112</v>
      </c>
      <c r="E428">
        <f t="shared" si="56"/>
        <v>11.396287565110185</v>
      </c>
      <c r="F428">
        <f t="shared" si="61"/>
        <v>2.6394698337746734</v>
      </c>
      <c r="G428">
        <f t="shared" si="62"/>
        <v>32.400056759393337</v>
      </c>
      <c r="H428">
        <f t="shared" si="57"/>
        <v>19.469872506195809</v>
      </c>
      <c r="J428">
        <f t="shared" si="58"/>
        <v>0.26394698337746736</v>
      </c>
      <c r="K428">
        <f t="shared" si="59"/>
        <v>3.2400056759393339</v>
      </c>
      <c r="L428">
        <v>0</v>
      </c>
    </row>
    <row r="429" spans="1:12" x14ac:dyDescent="0.4">
      <c r="A429">
        <v>417</v>
      </c>
      <c r="B429">
        <f t="shared" si="54"/>
        <v>4.6012024048096194</v>
      </c>
      <c r="C429">
        <f t="shared" si="55"/>
        <v>8.0219842635858629E-2</v>
      </c>
      <c r="D429">
        <f t="shared" si="60"/>
        <v>152.85119336870133</v>
      </c>
      <c r="E429">
        <f t="shared" si="56"/>
        <v>11.273802113244528</v>
      </c>
      <c r="F429">
        <f t="shared" si="61"/>
        <v>2.6070043623240187</v>
      </c>
      <c r="G429">
        <f t="shared" si="62"/>
        <v>32.393512761136272</v>
      </c>
      <c r="H429">
        <f t="shared" si="57"/>
        <v>19.218437345110189</v>
      </c>
      <c r="J429">
        <f t="shared" si="58"/>
        <v>0.26070043623240186</v>
      </c>
      <c r="K429">
        <f t="shared" si="59"/>
        <v>3.2393512761136272</v>
      </c>
      <c r="L429">
        <v>0</v>
      </c>
    </row>
    <row r="430" spans="1:12" x14ac:dyDescent="0.4">
      <c r="A430">
        <v>418</v>
      </c>
      <c r="B430">
        <f t="shared" si="54"/>
        <v>4.5450901803607202</v>
      </c>
      <c r="C430">
        <f t="shared" si="55"/>
        <v>7.9243617486264642E-2</v>
      </c>
      <c r="D430">
        <f t="shared" si="60"/>
        <v>153.15299938554463</v>
      </c>
      <c r="E430">
        <f t="shared" si="56"/>
        <v>11.150955217047326</v>
      </c>
      <c r="F430">
        <f t="shared" si="61"/>
        <v>2.5745629447817131</v>
      </c>
      <c r="G430">
        <f t="shared" si="62"/>
        <v>32.387045750597238</v>
      </c>
      <c r="H430">
        <f t="shared" si="57"/>
        <v>18.967797446507181</v>
      </c>
      <c r="J430">
        <f t="shared" si="58"/>
        <v>0.25745629447817131</v>
      </c>
      <c r="K430">
        <f t="shared" si="59"/>
        <v>3.2387045750597236</v>
      </c>
      <c r="L430">
        <v>0</v>
      </c>
    </row>
    <row r="431" spans="1:12" x14ac:dyDescent="0.4">
      <c r="A431">
        <v>419</v>
      </c>
      <c r="B431">
        <f t="shared" si="54"/>
        <v>4.4889779559118246</v>
      </c>
      <c r="C431">
        <f t="shared" si="55"/>
        <v>7.8267316333105519E-2</v>
      </c>
      <c r="D431">
        <f t="shared" si="60"/>
        <v>153.45552829105102</v>
      </c>
      <c r="E431">
        <f t="shared" si="56"/>
        <v>11.027746876518577</v>
      </c>
      <c r="F431">
        <f t="shared" si="61"/>
        <v>2.5421452870064138</v>
      </c>
      <c r="G431">
        <f t="shared" si="62"/>
        <v>32.380655713854644</v>
      </c>
      <c r="H431">
        <f t="shared" si="57"/>
        <v>18.717937669993848</v>
      </c>
      <c r="J431">
        <f t="shared" si="58"/>
        <v>0.25421452870064137</v>
      </c>
      <c r="K431">
        <f t="shared" si="59"/>
        <v>3.2380655713854645</v>
      </c>
      <c r="L431">
        <v>0</v>
      </c>
    </row>
    <row r="432" spans="1:12" x14ac:dyDescent="0.4">
      <c r="A432">
        <v>420</v>
      </c>
      <c r="B432">
        <f t="shared" si="54"/>
        <v>4.4328657314629254</v>
      </c>
      <c r="C432">
        <f t="shared" si="55"/>
        <v>7.7290940112764023E-2</v>
      </c>
      <c r="D432">
        <f t="shared" si="60"/>
        <v>153.75878008522054</v>
      </c>
      <c r="E432">
        <f t="shared" si="56"/>
        <v>10.904177091658269</v>
      </c>
      <c r="F432">
        <f t="shared" si="61"/>
        <v>2.5097510952182311</v>
      </c>
      <c r="G432">
        <f t="shared" si="62"/>
        <v>32.374342638891875</v>
      </c>
      <c r="H432">
        <f t="shared" si="57"/>
        <v>18.468842965604154</v>
      </c>
      <c r="J432">
        <f t="shared" si="58"/>
        <v>0.25097510952182311</v>
      </c>
      <c r="K432">
        <f t="shared" si="59"/>
        <v>3.2374342638891873</v>
      </c>
      <c r="L432">
        <v>0</v>
      </c>
    </row>
    <row r="433" spans="1:12" x14ac:dyDescent="0.4">
      <c r="A433">
        <v>421</v>
      </c>
      <c r="B433">
        <f t="shared" si="54"/>
        <v>4.3767535070140262</v>
      </c>
      <c r="C433">
        <f t="shared" si="55"/>
        <v>7.6314489761695095E-2</v>
      </c>
      <c r="D433">
        <f t="shared" si="60"/>
        <v>154.06275476805314</v>
      </c>
      <c r="E433">
        <f t="shared" si="56"/>
        <v>10.780245862466415</v>
      </c>
      <c r="F433">
        <f t="shared" si="61"/>
        <v>2.477380075988207</v>
      </c>
      <c r="G433">
        <f t="shared" si="62"/>
        <v>32.368106515608837</v>
      </c>
      <c r="H433">
        <f t="shared" si="57"/>
        <v>18.220498370924577</v>
      </c>
      <c r="J433">
        <f t="shared" si="58"/>
        <v>0.2477380075988207</v>
      </c>
      <c r="K433">
        <f t="shared" si="59"/>
        <v>3.2368106515608837</v>
      </c>
      <c r="L433">
        <v>0</v>
      </c>
    </row>
    <row r="434" spans="1:12" x14ac:dyDescent="0.4">
      <c r="A434">
        <v>422</v>
      </c>
      <c r="B434">
        <f t="shared" si="54"/>
        <v>4.3206412825651306</v>
      </c>
      <c r="C434">
        <f t="shared" si="55"/>
        <v>7.5337966216424829E-2</v>
      </c>
      <c r="D434">
        <f t="shared" si="60"/>
        <v>154.36745233954883</v>
      </c>
      <c r="E434">
        <f t="shared" si="56"/>
        <v>10.655953188943016</v>
      </c>
      <c r="F434">
        <f t="shared" si="61"/>
        <v>2.4450319362277022</v>
      </c>
      <c r="G434">
        <f t="shared" si="62"/>
        <v>32.361947335833626</v>
      </c>
      <c r="H434">
        <f t="shared" si="57"/>
        <v>17.972889008235633</v>
      </c>
      <c r="J434">
        <f t="shared" si="58"/>
        <v>0.24450319362277023</v>
      </c>
      <c r="K434">
        <f t="shared" si="59"/>
        <v>3.2361947335833627</v>
      </c>
      <c r="L434">
        <v>0</v>
      </c>
    </row>
    <row r="435" spans="1:12" x14ac:dyDescent="0.4">
      <c r="A435">
        <v>423</v>
      </c>
      <c r="B435">
        <f t="shared" si="54"/>
        <v>4.2645290581162314</v>
      </c>
      <c r="C435">
        <f t="shared" si="55"/>
        <v>7.4361370413549274E-2</v>
      </c>
      <c r="D435">
        <f t="shared" si="60"/>
        <v>154.67287279970765</v>
      </c>
      <c r="E435">
        <f t="shared" si="56"/>
        <v>10.531299071088057</v>
      </c>
      <c r="F435">
        <f t="shared" si="61"/>
        <v>2.4127063831778019</v>
      </c>
      <c r="G435">
        <f t="shared" si="62"/>
        <v>32.355865093334316</v>
      </c>
      <c r="H435">
        <f t="shared" si="57"/>
        <v>17.726000081668644</v>
      </c>
      <c r="J435">
        <f t="shared" si="58"/>
        <v>0.2412706383177802</v>
      </c>
      <c r="K435">
        <f t="shared" si="59"/>
        <v>3.2355865093334315</v>
      </c>
      <c r="L435">
        <v>0</v>
      </c>
    </row>
    <row r="436" spans="1:12" x14ac:dyDescent="0.4">
      <c r="A436">
        <v>424</v>
      </c>
      <c r="B436">
        <f t="shared" si="54"/>
        <v>4.2084168336673358</v>
      </c>
      <c r="C436">
        <f t="shared" si="55"/>
        <v>7.3384703289734066E-2</v>
      </c>
      <c r="D436">
        <f t="shared" si="60"/>
        <v>154.97901614852952</v>
      </c>
      <c r="E436">
        <f t="shared" si="56"/>
        <v>10.406283508901566</v>
      </c>
      <c r="F436">
        <f t="shared" si="61"/>
        <v>2.3804031243985992</v>
      </c>
      <c r="G436">
        <f t="shared" si="62"/>
        <v>32.349859783830901</v>
      </c>
      <c r="H436">
        <f t="shared" si="57"/>
        <v>17.479816874376418</v>
      </c>
      <c r="J436">
        <f t="shared" si="58"/>
        <v>0.23804031243985993</v>
      </c>
      <c r="K436">
        <f t="shared" si="59"/>
        <v>3.2349859783830901</v>
      </c>
      <c r="L436">
        <v>0</v>
      </c>
    </row>
    <row r="437" spans="1:12" x14ac:dyDescent="0.4">
      <c r="A437">
        <v>425</v>
      </c>
      <c r="B437">
        <f t="shared" si="54"/>
        <v>4.1523046092184366</v>
      </c>
      <c r="C437">
        <f t="shared" si="55"/>
        <v>7.2407965781712991E-2</v>
      </c>
      <c r="D437">
        <f t="shared" si="60"/>
        <v>155.28588238601452</v>
      </c>
      <c r="E437">
        <f t="shared" si="56"/>
        <v>10.280906502383516</v>
      </c>
      <c r="F437">
        <f t="shared" si="61"/>
        <v>2.3481218677584526</v>
      </c>
      <c r="G437">
        <f t="shared" si="62"/>
        <v>32.343931405007346</v>
      </c>
      <c r="H437">
        <f t="shared" si="57"/>
        <v>17.234324745716609</v>
      </c>
      <c r="J437">
        <f t="shared" si="58"/>
        <v>0.23481218677584526</v>
      </c>
      <c r="K437">
        <f t="shared" si="59"/>
        <v>3.2343931405007345</v>
      </c>
      <c r="L437">
        <v>0</v>
      </c>
    </row>
    <row r="438" spans="1:12" x14ac:dyDescent="0.4">
      <c r="A438">
        <v>426</v>
      </c>
      <c r="B438">
        <f t="shared" si="54"/>
        <v>4.0961923847695374</v>
      </c>
      <c r="C438">
        <f t="shared" si="55"/>
        <v>7.1431158826287533E-2</v>
      </c>
      <c r="D438">
        <f t="shared" si="60"/>
        <v>155.59347151216261</v>
      </c>
      <c r="E438">
        <f t="shared" si="56"/>
        <v>10.155168051533934</v>
      </c>
      <c r="F438">
        <f t="shared" si="61"/>
        <v>2.3158623214232175</v>
      </c>
      <c r="G438">
        <f t="shared" si="62"/>
        <v>32.338079956523863</v>
      </c>
      <c r="H438">
        <f t="shared" si="57"/>
        <v>16.989509128447359</v>
      </c>
      <c r="J438">
        <f t="shared" si="58"/>
        <v>0.23158623214232174</v>
      </c>
      <c r="K438">
        <f t="shared" si="59"/>
        <v>3.2338079956523864</v>
      </c>
      <c r="L438">
        <v>0</v>
      </c>
    </row>
    <row r="439" spans="1:12" x14ac:dyDescent="0.4">
      <c r="A439">
        <v>427</v>
      </c>
      <c r="B439">
        <f t="shared" si="54"/>
        <v>4.0400801603206418</v>
      </c>
      <c r="C439">
        <f t="shared" si="55"/>
        <v>7.0454283360325762E-2</v>
      </c>
      <c r="D439">
        <f t="shared" si="60"/>
        <v>155.90178352697379</v>
      </c>
      <c r="E439">
        <f t="shared" si="56"/>
        <v>10.029068156352793</v>
      </c>
      <c r="F439">
        <f t="shared" si="61"/>
        <v>2.2836241938453612</v>
      </c>
      <c r="G439">
        <f t="shared" si="62"/>
        <v>32.332305440029266</v>
      </c>
      <c r="H439">
        <f t="shared" si="57"/>
        <v>16.745355525933217</v>
      </c>
      <c r="J439">
        <f t="shared" si="58"/>
        <v>0.22836241938453611</v>
      </c>
      <c r="K439">
        <f t="shared" si="59"/>
        <v>3.2332305440029265</v>
      </c>
      <c r="L439">
        <v>0</v>
      </c>
    </row>
    <row r="440" spans="1:12" x14ac:dyDescent="0.4">
      <c r="A440">
        <v>428</v>
      </c>
      <c r="B440">
        <f t="shared" si="54"/>
        <v>3.9839679358717426</v>
      </c>
      <c r="C440">
        <f t="shared" si="55"/>
        <v>6.9477340320761291E-2</v>
      </c>
      <c r="D440">
        <f t="shared" si="60"/>
        <v>156.21081843044806</v>
      </c>
      <c r="E440">
        <f t="shared" si="56"/>
        <v>9.9026068168401054</v>
      </c>
      <c r="F440">
        <f t="shared" si="61"/>
        <v>2.2514071937530553</v>
      </c>
      <c r="G440">
        <f t="shared" si="62"/>
        <v>32.3266078591735</v>
      </c>
      <c r="H440">
        <f t="shared" si="57"/>
        <v>16.501849509360881</v>
      </c>
      <c r="J440">
        <f t="shared" si="58"/>
        <v>0.22514071937530553</v>
      </c>
      <c r="K440">
        <f t="shared" si="59"/>
        <v>3.23266078591735</v>
      </c>
      <c r="L440">
        <v>0</v>
      </c>
    </row>
    <row r="441" spans="1:12" x14ac:dyDescent="0.4">
      <c r="A441">
        <v>429</v>
      </c>
      <c r="B441">
        <f t="shared" si="54"/>
        <v>3.927855711422847</v>
      </c>
      <c r="C441">
        <f t="shared" si="55"/>
        <v>6.8500330644592766E-2</v>
      </c>
      <c r="D441">
        <f t="shared" si="60"/>
        <v>156.52057622258545</v>
      </c>
      <c r="E441">
        <f t="shared" si="56"/>
        <v>9.7757840329958583</v>
      </c>
      <c r="F441">
        <f t="shared" si="61"/>
        <v>2.2192110301392463</v>
      </c>
      <c r="G441">
        <f t="shared" si="62"/>
        <v>32.320987219620335</v>
      </c>
      <c r="H441">
        <f t="shared" si="57"/>
        <v>16.258976714963499</v>
      </c>
      <c r="J441">
        <f t="shared" si="58"/>
        <v>0.22192110301392462</v>
      </c>
      <c r="K441">
        <f t="shared" si="59"/>
        <v>3.2320987219620334</v>
      </c>
      <c r="L441">
        <v>0</v>
      </c>
    </row>
    <row r="442" spans="1:12" x14ac:dyDescent="0.4">
      <c r="A442">
        <v>430</v>
      </c>
      <c r="B442">
        <f t="shared" si="54"/>
        <v>3.8717434869739478</v>
      </c>
      <c r="C442">
        <f t="shared" si="55"/>
        <v>6.7523255268882545E-2</v>
      </c>
      <c r="D442">
        <f t="shared" si="60"/>
        <v>156.83105690338593</v>
      </c>
      <c r="E442">
        <f t="shared" si="56"/>
        <v>9.6485998048200656</v>
      </c>
      <c r="F442">
        <f t="shared" si="61"/>
        <v>2.1870354122505997</v>
      </c>
      <c r="G442">
        <f t="shared" si="62"/>
        <v>32.315443529060211</v>
      </c>
      <c r="H442">
        <f t="shared" si="57"/>
        <v>16.01672284125241</v>
      </c>
      <c r="J442">
        <f t="shared" si="58"/>
        <v>0.21870354122505997</v>
      </c>
      <c r="K442">
        <f t="shared" si="59"/>
        <v>3.2315443529060213</v>
      </c>
      <c r="L442">
        <v>0</v>
      </c>
    </row>
    <row r="443" spans="1:12" x14ac:dyDescent="0.4">
      <c r="A443">
        <v>431</v>
      </c>
      <c r="B443">
        <f t="shared" si="54"/>
        <v>3.8156312625250486</v>
      </c>
      <c r="C443">
        <f t="shared" si="55"/>
        <v>6.6546115130756159E-2</v>
      </c>
      <c r="D443">
        <f t="shared" si="60"/>
        <v>157.1422604728495</v>
      </c>
      <c r="E443">
        <f t="shared" si="56"/>
        <v>9.5210541323127273</v>
      </c>
      <c r="F443">
        <f t="shared" si="61"/>
        <v>2.1548800495764548</v>
      </c>
      <c r="G443">
        <f t="shared" si="62"/>
        <v>32.309976797223264</v>
      </c>
      <c r="H443">
        <f t="shared" si="57"/>
        <v>15.775073646255269</v>
      </c>
      <c r="J443">
        <f t="shared" si="58"/>
        <v>0.21548800495764547</v>
      </c>
      <c r="K443">
        <f t="shared" si="59"/>
        <v>3.2309976797223263</v>
      </c>
      <c r="L443">
        <v>0</v>
      </c>
    </row>
    <row r="444" spans="1:12" x14ac:dyDescent="0.4">
      <c r="A444">
        <v>432</v>
      </c>
      <c r="B444">
        <f t="shared" si="54"/>
        <v>3.759519038076153</v>
      </c>
      <c r="C444">
        <f t="shared" si="55"/>
        <v>6.5568911167401212E-2</v>
      </c>
      <c r="D444">
        <f t="shared" si="60"/>
        <v>157.45418693097616</v>
      </c>
      <c r="E444">
        <f t="shared" si="56"/>
        <v>9.3931470154738435</v>
      </c>
      <c r="F444">
        <f t="shared" si="61"/>
        <v>2.1227446518376465</v>
      </c>
      <c r="G444">
        <f t="shared" si="62"/>
        <v>32.304587035892482</v>
      </c>
      <c r="H444">
        <f t="shared" si="57"/>
        <v>15.53401494475929</v>
      </c>
      <c r="J444">
        <f t="shared" si="58"/>
        <v>0.21227446518376464</v>
      </c>
      <c r="K444">
        <f t="shared" si="59"/>
        <v>3.2304587035892482</v>
      </c>
      <c r="L444">
        <v>0</v>
      </c>
    </row>
    <row r="445" spans="1:12" x14ac:dyDescent="0.4">
      <c r="A445">
        <v>433</v>
      </c>
      <c r="B445">
        <f t="shared" si="54"/>
        <v>3.7034068136272538</v>
      </c>
      <c r="C445">
        <f t="shared" si="55"/>
        <v>6.4591644316066413E-2</v>
      </c>
      <c r="D445">
        <f t="shared" si="60"/>
        <v>157.76683627776595</v>
      </c>
      <c r="E445">
        <f t="shared" si="56"/>
        <v>9.2648784543033997</v>
      </c>
      <c r="F445">
        <f t="shared" si="61"/>
        <v>2.0906289289753053</v>
      </c>
      <c r="G445">
        <f t="shared" si="62"/>
        <v>32.299274258917038</v>
      </c>
      <c r="H445">
        <f t="shared" si="57"/>
        <v>15.293532605558806</v>
      </c>
      <c r="J445">
        <f t="shared" si="58"/>
        <v>0.20906289289753052</v>
      </c>
      <c r="K445">
        <f t="shared" si="59"/>
        <v>3.2299274258917037</v>
      </c>
      <c r="L445">
        <v>0</v>
      </c>
    </row>
    <row r="446" spans="1:12" x14ac:dyDescent="0.4">
      <c r="A446">
        <v>434</v>
      </c>
      <c r="B446">
        <f t="shared" si="54"/>
        <v>3.6472945891783581</v>
      </c>
      <c r="C446">
        <f t="shared" si="55"/>
        <v>6.3614315514061007E-2</v>
      </c>
      <c r="D446">
        <f t="shared" si="60"/>
        <v>158.08020851321882</v>
      </c>
      <c r="E446">
        <f t="shared" si="56"/>
        <v>9.1362484488014104</v>
      </c>
      <c r="F446">
        <f t="shared" si="61"/>
        <v>2.0585325911396284</v>
      </c>
      <c r="G446">
        <f t="shared" si="62"/>
        <v>32.294038482225865</v>
      </c>
      <c r="H446">
        <f t="shared" si="57"/>
        <v>15.0536125487059</v>
      </c>
      <c r="J446">
        <f t="shared" si="58"/>
        <v>0.20585325911396285</v>
      </c>
      <c r="K446">
        <f t="shared" si="59"/>
        <v>3.2294038482225864</v>
      </c>
      <c r="L446">
        <v>0</v>
      </c>
    </row>
    <row r="447" spans="1:12" x14ac:dyDescent="0.4">
      <c r="A447">
        <v>435</v>
      </c>
      <c r="B447">
        <f t="shared" si="54"/>
        <v>3.591182364729459</v>
      </c>
      <c r="C447">
        <f t="shared" si="55"/>
        <v>6.2636925698753371E-2</v>
      </c>
      <c r="D447">
        <f t="shared" si="60"/>
        <v>158.39430363733479</v>
      </c>
      <c r="E447">
        <f t="shared" si="56"/>
        <v>9.0072569989678755</v>
      </c>
      <c r="F447">
        <f t="shared" si="61"/>
        <v>2.0264553486785237</v>
      </c>
      <c r="G447">
        <f t="shared" si="62"/>
        <v>32.288879723841269</v>
      </c>
      <c r="H447">
        <f t="shared" si="57"/>
        <v>14.814240742762742</v>
      </c>
      <c r="J447">
        <f t="shared" si="58"/>
        <v>0.20264553486785236</v>
      </c>
      <c r="K447">
        <f t="shared" si="59"/>
        <v>3.2288879723841268</v>
      </c>
      <c r="L447">
        <v>0</v>
      </c>
    </row>
    <row r="448" spans="1:12" x14ac:dyDescent="0.4">
      <c r="A448">
        <v>436</v>
      </c>
      <c r="B448">
        <f t="shared" si="54"/>
        <v>3.5350701402805598</v>
      </c>
      <c r="C448">
        <f t="shared" si="55"/>
        <v>6.1659475807570613E-2</v>
      </c>
      <c r="D448">
        <f t="shared" si="60"/>
        <v>158.70912165011387</v>
      </c>
      <c r="E448">
        <f t="shared" si="56"/>
        <v>8.8779041048027807</v>
      </c>
      <c r="F448">
        <f t="shared" si="61"/>
        <v>1.9943969121262333</v>
      </c>
      <c r="G448">
        <f t="shared" si="62"/>
        <v>32.283798003892862</v>
      </c>
      <c r="H448">
        <f t="shared" si="57"/>
        <v>14.575403202054922</v>
      </c>
      <c r="J448">
        <f t="shared" si="58"/>
        <v>0.19943969121262334</v>
      </c>
      <c r="K448">
        <f t="shared" si="59"/>
        <v>3.2283798003892863</v>
      </c>
      <c r="L448">
        <v>0</v>
      </c>
    </row>
    <row r="449" spans="1:12" x14ac:dyDescent="0.4">
      <c r="A449">
        <v>437</v>
      </c>
      <c r="B449">
        <f t="shared" si="54"/>
        <v>3.4789579158316641</v>
      </c>
      <c r="C449">
        <f t="shared" si="55"/>
        <v>6.0681966777997497E-2</v>
      </c>
      <c r="D449">
        <f t="shared" si="60"/>
        <v>159.02466255155602</v>
      </c>
      <c r="E449">
        <f t="shared" si="56"/>
        <v>8.7481897663061545</v>
      </c>
      <c r="F449">
        <f t="shared" si="61"/>
        <v>1.9623569921918445</v>
      </c>
      <c r="G449">
        <f t="shared" si="62"/>
        <v>32.278793344631566</v>
      </c>
      <c r="H449">
        <f t="shared" si="57"/>
        <v>14.337085983924384</v>
      </c>
      <c r="J449">
        <f t="shared" si="58"/>
        <v>0.19623569921918443</v>
      </c>
      <c r="K449">
        <f t="shared" si="59"/>
        <v>3.2278793344631564</v>
      </c>
      <c r="L449">
        <v>0</v>
      </c>
    </row>
    <row r="450" spans="1:12" x14ac:dyDescent="0.4">
      <c r="A450">
        <v>438</v>
      </c>
      <c r="B450">
        <f t="shared" si="54"/>
        <v>3.422845691382765</v>
      </c>
      <c r="C450">
        <f t="shared" si="55"/>
        <v>5.9704399547575275E-2</v>
      </c>
      <c r="D450">
        <f t="shared" si="60"/>
        <v>159.34092634166129</v>
      </c>
      <c r="E450">
        <f t="shared" si="56"/>
        <v>8.6181139834779685</v>
      </c>
      <c r="F450">
        <f t="shared" si="61"/>
        <v>1.9303352997478072</v>
      </c>
      <c r="G450">
        <f t="shared" si="62"/>
        <v>32.273865770443884</v>
      </c>
      <c r="H450">
        <f t="shared" si="57"/>
        <v>14.09927518598076</v>
      </c>
      <c r="J450">
        <f t="shared" si="58"/>
        <v>0.19303352997478071</v>
      </c>
      <c r="K450">
        <f t="shared" si="59"/>
        <v>3.2273865770443884</v>
      </c>
      <c r="L450">
        <v>0</v>
      </c>
    </row>
    <row r="451" spans="1:12" x14ac:dyDescent="0.4">
      <c r="A451">
        <v>439</v>
      </c>
      <c r="B451">
        <f t="shared" si="54"/>
        <v>3.3667334669338658</v>
      </c>
      <c r="C451">
        <f t="shared" si="55"/>
        <v>5.8726775053901212E-2</v>
      </c>
      <c r="D451">
        <f t="shared" si="60"/>
        <v>159.65791302042965</v>
      </c>
      <c r="E451">
        <f t="shared" si="56"/>
        <v>8.4876767563182511</v>
      </c>
      <c r="F451">
        <f t="shared" si="61"/>
        <v>1.898331545818337</v>
      </c>
      <c r="G451">
        <f t="shared" si="62"/>
        <v>32.269015307866333</v>
      </c>
      <c r="H451">
        <f t="shared" si="57"/>
        <v>13.861956943350364</v>
      </c>
      <c r="J451">
        <f t="shared" si="58"/>
        <v>0.1898331545818337</v>
      </c>
      <c r="K451">
        <f t="shared" si="59"/>
        <v>3.2269015307866331</v>
      </c>
      <c r="L451">
        <v>0</v>
      </c>
    </row>
    <row r="452" spans="1:12" x14ac:dyDescent="0.4">
      <c r="A452">
        <v>440</v>
      </c>
      <c r="B452">
        <f t="shared" si="54"/>
        <v>3.3106212424849701</v>
      </c>
      <c r="C452">
        <f t="shared" si="55"/>
        <v>5.7749094234627513E-2</v>
      </c>
      <c r="D452">
        <f t="shared" si="60"/>
        <v>159.9756225878611</v>
      </c>
      <c r="E452">
        <f t="shared" si="56"/>
        <v>8.3568780848269739</v>
      </c>
      <c r="F452">
        <f t="shared" si="61"/>
        <v>1.8663454415677203</v>
      </c>
      <c r="G452">
        <f t="shared" si="62"/>
        <v>32.264241985600009</v>
      </c>
      <c r="H452">
        <f t="shared" si="57"/>
        <v>13.625117425920958</v>
      </c>
      <c r="J452">
        <f t="shared" si="58"/>
        <v>0.18663454415677203</v>
      </c>
      <c r="K452">
        <f t="shared" si="59"/>
        <v>3.2264241985600011</v>
      </c>
      <c r="L452">
        <v>0</v>
      </c>
    </row>
    <row r="453" spans="1:12" x14ac:dyDescent="0.4">
      <c r="A453">
        <v>441</v>
      </c>
      <c r="B453">
        <f t="shared" si="54"/>
        <v>3.254509018036071</v>
      </c>
      <c r="C453">
        <f t="shared" si="55"/>
        <v>5.6771358027460202E-2</v>
      </c>
      <c r="D453">
        <f t="shared" si="60"/>
        <v>160.29405504395567</v>
      </c>
      <c r="E453">
        <f t="shared" si="56"/>
        <v>8.2257179690041369</v>
      </c>
      <c r="F453">
        <f t="shared" si="61"/>
        <v>1.8343766982886114</v>
      </c>
      <c r="G453">
        <f t="shared" si="62"/>
        <v>32.259545834525454</v>
      </c>
      <c r="H453">
        <f t="shared" si="57"/>
        <v>13.388742835581875</v>
      </c>
      <c r="J453">
        <f t="shared" si="58"/>
        <v>0.18343766982886114</v>
      </c>
      <c r="K453">
        <f t="shared" si="59"/>
        <v>3.2259545834525456</v>
      </c>
      <c r="L453">
        <v>0</v>
      </c>
    </row>
    <row r="454" spans="1:12" x14ac:dyDescent="0.4">
      <c r="A454">
        <v>442</v>
      </c>
      <c r="B454">
        <f t="shared" si="54"/>
        <v>3.1983967935871753</v>
      </c>
      <c r="C454">
        <f t="shared" si="55"/>
        <v>5.5793567370158684E-2</v>
      </c>
      <c r="D454">
        <f t="shared" si="60"/>
        <v>160.6132103887133</v>
      </c>
      <c r="E454">
        <f t="shared" si="56"/>
        <v>8.0941964088497684</v>
      </c>
      <c r="F454">
        <f t="shared" si="61"/>
        <v>1.8024250273902289</v>
      </c>
      <c r="G454">
        <f t="shared" si="62"/>
        <v>32.254926887717652</v>
      </c>
      <c r="H454">
        <f t="shared" si="57"/>
        <v>13.152819403457844</v>
      </c>
      <c r="J454">
        <f t="shared" si="58"/>
        <v>0.1802425027390229</v>
      </c>
      <c r="K454">
        <f t="shared" si="59"/>
        <v>3.225492688771765</v>
      </c>
      <c r="L454">
        <v>0</v>
      </c>
    </row>
    <row r="455" spans="1:12" x14ac:dyDescent="0.4">
      <c r="A455">
        <v>443</v>
      </c>
      <c r="B455">
        <f t="shared" si="54"/>
        <v>3.1422845691382761</v>
      </c>
      <c r="C455">
        <f t="shared" si="55"/>
        <v>5.4815723200534343E-2</v>
      </c>
      <c r="D455">
        <f t="shared" si="60"/>
        <v>160.93308862213405</v>
      </c>
      <c r="E455">
        <f t="shared" si="56"/>
        <v>7.9623134043638402</v>
      </c>
      <c r="F455">
        <f t="shared" si="61"/>
        <v>1.7704901403864441</v>
      </c>
      <c r="G455">
        <f t="shared" si="62"/>
        <v>32.25038518046123</v>
      </c>
      <c r="H455">
        <f t="shared" si="57"/>
        <v>12.917333387135253</v>
      </c>
      <c r="J455">
        <f t="shared" si="58"/>
        <v>0.17704901403864443</v>
      </c>
      <c r="K455">
        <f t="shared" si="59"/>
        <v>3.225038518046123</v>
      </c>
      <c r="L455">
        <v>0</v>
      </c>
    </row>
    <row r="456" spans="1:12" x14ac:dyDescent="0.4">
      <c r="A456">
        <v>444</v>
      </c>
      <c r="B456">
        <f t="shared" si="54"/>
        <v>3.086172344689377</v>
      </c>
      <c r="C456">
        <f t="shared" si="55"/>
        <v>5.3837826456450064E-2</v>
      </c>
      <c r="D456">
        <f t="shared" si="60"/>
        <v>161.25368974421789</v>
      </c>
      <c r="E456">
        <f t="shared" si="56"/>
        <v>7.8300689555463663</v>
      </c>
      <c r="F456">
        <f t="shared" si="61"/>
        <v>1.7385717488839016</v>
      </c>
      <c r="G456">
        <f t="shared" si="62"/>
        <v>32.245920750265924</v>
      </c>
      <c r="H456">
        <f t="shared" si="57"/>
        <v>12.682271067880214</v>
      </c>
      <c r="J456">
        <f t="shared" si="58"/>
        <v>0.17385717488839017</v>
      </c>
      <c r="K456">
        <f t="shared" si="59"/>
        <v>3.2245920750265924</v>
      </c>
      <c r="L456">
        <v>0</v>
      </c>
    </row>
    <row r="457" spans="1:12" x14ac:dyDescent="0.4">
      <c r="A457">
        <v>445</v>
      </c>
      <c r="B457">
        <f t="shared" si="54"/>
        <v>3.0300601202404813</v>
      </c>
      <c r="C457">
        <f t="shared" si="55"/>
        <v>5.2859878075819156E-2</v>
      </c>
      <c r="D457">
        <f t="shared" si="60"/>
        <v>161.57501375496483</v>
      </c>
      <c r="E457">
        <f t="shared" si="56"/>
        <v>7.6974630623973468</v>
      </c>
      <c r="F457">
        <f t="shared" si="61"/>
        <v>1.7066695645699206</v>
      </c>
      <c r="G457">
        <f t="shared" si="62"/>
        <v>32.24153363688216</v>
      </c>
      <c r="H457">
        <f t="shared" si="57"/>
        <v>12.447618747846294</v>
      </c>
      <c r="J457">
        <f t="shared" si="58"/>
        <v>0.17066695645699206</v>
      </c>
      <c r="K457">
        <f t="shared" si="59"/>
        <v>3.2241533636882158</v>
      </c>
      <c r="L457">
        <v>0</v>
      </c>
    </row>
    <row r="458" spans="1:12" x14ac:dyDescent="0.4">
      <c r="A458">
        <v>446</v>
      </c>
      <c r="B458">
        <f t="shared" si="54"/>
        <v>2.9739478957915821</v>
      </c>
      <c r="C458">
        <f t="shared" si="55"/>
        <v>5.1881878996604271E-2</v>
      </c>
      <c r="D458">
        <f t="shared" si="60"/>
        <v>161.89706065437488</v>
      </c>
      <c r="E458">
        <f t="shared" si="56"/>
        <v>7.5644957249167675</v>
      </c>
      <c r="F458">
        <f t="shared" si="61"/>
        <v>1.6747832992004268</v>
      </c>
      <c r="G458">
        <f t="shared" si="62"/>
        <v>32.237223882316925</v>
      </c>
      <c r="H458">
        <f t="shared" si="57"/>
        <v>12.213362747271468</v>
      </c>
      <c r="J458">
        <f t="shared" si="58"/>
        <v>0.16747832992004269</v>
      </c>
      <c r="K458">
        <f t="shared" si="59"/>
        <v>3.2237223882316925</v>
      </c>
      <c r="L458">
        <v>0</v>
      </c>
    </row>
    <row r="459" spans="1:12" x14ac:dyDescent="0.4">
      <c r="A459">
        <v>447</v>
      </c>
      <c r="B459">
        <f t="shared" si="54"/>
        <v>2.9178356713426865</v>
      </c>
      <c r="C459">
        <f t="shared" si="55"/>
        <v>5.0903830156816952E-2</v>
      </c>
      <c r="D459">
        <f t="shared" si="60"/>
        <v>162.21983044244803</v>
      </c>
      <c r="E459">
        <f t="shared" si="56"/>
        <v>7.4311669431046425</v>
      </c>
      <c r="F459">
        <f t="shared" si="61"/>
        <v>1.6429126645877736</v>
      </c>
      <c r="G459">
        <f t="shared" si="62"/>
        <v>32.232991530849873</v>
      </c>
      <c r="H459">
        <f t="shared" si="57"/>
        <v>11.979489401662624</v>
      </c>
      <c r="J459">
        <f t="shared" si="58"/>
        <v>0.16429126645877737</v>
      </c>
      <c r="K459">
        <f t="shared" si="59"/>
        <v>3.2232991530849873</v>
      </c>
      <c r="L459">
        <v>0</v>
      </c>
    </row>
    <row r="460" spans="1:12" x14ac:dyDescent="0.4">
      <c r="A460">
        <v>448</v>
      </c>
      <c r="B460">
        <f t="shared" ref="B460:B511" si="63">IF(A460="",NA(),-$B$3/($B$2-1)*A460+$B$3)</f>
        <v>2.8617234468937873</v>
      </c>
      <c r="C460">
        <f t="shared" ref="C460:C511" si="64">SIN(RADIANS(B460))</f>
        <v>4.9925732494516185E-2</v>
      </c>
      <c r="D460">
        <f t="shared" si="60"/>
        <v>162.54332311918427</v>
      </c>
      <c r="E460">
        <f t="shared" ref="E460:E511" si="65">IFERROR(90-(B460+D460)/2,IF($B$2-1=A460,E459,NA()))</f>
        <v>7.297476716960972</v>
      </c>
      <c r="F460">
        <f t="shared" si="61"/>
        <v>1.6110573725884465</v>
      </c>
      <c r="G460">
        <f t="shared" si="62"/>
        <v>32.228836629049532</v>
      </c>
      <c r="H460">
        <f t="shared" ref="H460:H511" si="66">IF(A460="",NA(),F460-G460/TAN(RADIANS(270-D460)))</f>
        <v>11.745985058966264</v>
      </c>
      <c r="J460">
        <f t="shared" ref="J460:J511" si="67">IF(A460="",NA(),F460/10)</f>
        <v>0.16110573725884464</v>
      </c>
      <c r="K460">
        <f t="shared" ref="K460:K511" si="68">IF(A460="",NA(),G460/10)</f>
        <v>3.2228836629049531</v>
      </c>
      <c r="L460">
        <v>0</v>
      </c>
    </row>
    <row r="461" spans="1:12" x14ac:dyDescent="0.4">
      <c r="A461">
        <v>449</v>
      </c>
      <c r="B461">
        <f t="shared" si="63"/>
        <v>2.8056112224448881</v>
      </c>
      <c r="C461">
        <f t="shared" si="64"/>
        <v>4.8947586947808E-2</v>
      </c>
      <c r="D461">
        <f t="shared" ref="D461:D511" si="69" xml:space="preserve"> IF(A461="", NA(), MEDIAN(90, 180, $F$3*B461^2 - ((90+$F$3*$B$3^2)/$B$3)*B461 + 180))</f>
        <v>162.86753868458359</v>
      </c>
      <c r="E461">
        <f t="shared" si="65"/>
        <v>7.1634250464857558</v>
      </c>
      <c r="F461">
        <f t="shared" ref="F461:F511" si="70">IFERROR(F460*(TAN(RADIANS(E460))-TAN(RADIANS(90-B460)))/(TAN(RADIANS(E460))-TAN(RADIANS(90-B461))),IF($B$2-1=A461,0,NA()))</f>
        <v>1.579217135090766</v>
      </c>
      <c r="G461">
        <f t="shared" ref="G461:G511" si="71">IFERROR(TAN(RADIANS(90-B461))*F461,IF($B$2-1=A461,G460,NA()))</f>
        <v>32.22475922578991</v>
      </c>
      <c r="H461">
        <f t="shared" si="66"/>
        <v>11.512836076724394</v>
      </c>
      <c r="J461">
        <f t="shared" si="67"/>
        <v>0.15792171350907661</v>
      </c>
      <c r="K461">
        <f t="shared" si="68"/>
        <v>3.2224759225789912</v>
      </c>
      <c r="L461">
        <v>0</v>
      </c>
    </row>
    <row r="462" spans="1:12" x14ac:dyDescent="0.4">
      <c r="A462">
        <v>450</v>
      </c>
      <c r="B462">
        <f t="shared" si="63"/>
        <v>2.7494989979959925</v>
      </c>
      <c r="C462">
        <f t="shared" si="64"/>
        <v>4.7969394454844334E-2</v>
      </c>
      <c r="D462">
        <f t="shared" si="69"/>
        <v>163.19247713864604</v>
      </c>
      <c r="E462">
        <f t="shared" si="65"/>
        <v>7.0290119316789799</v>
      </c>
      <c r="F462">
        <f t="shared" si="70"/>
        <v>1.5473916640024303</v>
      </c>
      <c r="G462">
        <f t="shared" si="71"/>
        <v>32.220759372267182</v>
      </c>
      <c r="H462">
        <f t="shared" si="66"/>
        <v>11.28002881921393</v>
      </c>
      <c r="J462">
        <f t="shared" si="67"/>
        <v>0.15473916640024304</v>
      </c>
      <c r="K462">
        <f t="shared" si="68"/>
        <v>3.2220759372267183</v>
      </c>
      <c r="L462">
        <v>0</v>
      </c>
    </row>
    <row r="463" spans="1:12" x14ac:dyDescent="0.4">
      <c r="A463">
        <v>451</v>
      </c>
      <c r="B463">
        <f t="shared" si="63"/>
        <v>2.6933867735470933</v>
      </c>
      <c r="C463">
        <f t="shared" si="64"/>
        <v>4.6991155953821979E-2</v>
      </c>
      <c r="D463">
        <f t="shared" si="69"/>
        <v>163.51813848137158</v>
      </c>
      <c r="E463">
        <f t="shared" si="65"/>
        <v>6.8942373725406583</v>
      </c>
      <c r="F463">
        <f t="shared" si="70"/>
        <v>1.5155806712380047</v>
      </c>
      <c r="G463">
        <f t="shared" si="71"/>
        <v>32.216837122016678</v>
      </c>
      <c r="H463">
        <f t="shared" si="66"/>
        <v>11.047549654568577</v>
      </c>
      <c r="J463">
        <f t="shared" si="67"/>
        <v>0.15155806712380046</v>
      </c>
      <c r="K463">
        <f t="shared" si="68"/>
        <v>3.2216837122016679</v>
      </c>
      <c r="L463">
        <v>0</v>
      </c>
    </row>
    <row r="464" spans="1:12" x14ac:dyDescent="0.4">
      <c r="A464">
        <v>452</v>
      </c>
      <c r="B464">
        <f t="shared" si="63"/>
        <v>2.6372745490981977</v>
      </c>
      <c r="C464">
        <f t="shared" si="64"/>
        <v>4.601287238298208E-2</v>
      </c>
      <c r="D464">
        <f t="shared" si="69"/>
        <v>163.84452271276018</v>
      </c>
      <c r="E464">
        <f t="shared" si="65"/>
        <v>6.7591013690708053</v>
      </c>
      <c r="F464">
        <f t="shared" si="70"/>
        <v>1.4837838687063607</v>
      </c>
      <c r="G464">
        <f t="shared" si="71"/>
        <v>32.212992530930144</v>
      </c>
      <c r="H464">
        <f t="shared" si="66"/>
        <v>10.815384951881532</v>
      </c>
      <c r="J464">
        <f t="shared" si="67"/>
        <v>0.14837838687063606</v>
      </c>
      <c r="K464">
        <f t="shared" si="68"/>
        <v>3.2212992530930142</v>
      </c>
      <c r="L464">
        <v>0</v>
      </c>
    </row>
    <row r="465" spans="1:12" x14ac:dyDescent="0.4">
      <c r="A465">
        <v>453</v>
      </c>
      <c r="B465">
        <f t="shared" si="63"/>
        <v>2.5811623246492985</v>
      </c>
      <c r="C465">
        <f t="shared" si="64"/>
        <v>4.5034544680608787E-2</v>
      </c>
      <c r="D465">
        <f t="shared" si="69"/>
        <v>164.1716298328119</v>
      </c>
      <c r="E465">
        <f t="shared" si="65"/>
        <v>6.6236039212693925</v>
      </c>
      <c r="F465">
        <f t="shared" si="70"/>
        <v>1.4520009682979189</v>
      </c>
      <c r="G465">
        <f t="shared" si="71"/>
        <v>32.209225657273166</v>
      </c>
      <c r="H465">
        <f t="shared" si="66"/>
        <v>10.583521078287632</v>
      </c>
      <c r="J465">
        <f t="shared" si="67"/>
        <v>0.1452000968297919</v>
      </c>
      <c r="K465">
        <f t="shared" si="68"/>
        <v>3.2209225657273164</v>
      </c>
      <c r="L465">
        <v>0</v>
      </c>
    </row>
    <row r="466" spans="1:12" x14ac:dyDescent="0.4">
      <c r="A466">
        <v>454</v>
      </c>
      <c r="B466">
        <f t="shared" si="63"/>
        <v>2.5250501002003993</v>
      </c>
      <c r="C466">
        <f t="shared" si="64"/>
        <v>4.4056173785028747E-2</v>
      </c>
      <c r="D466">
        <f t="shared" si="69"/>
        <v>164.49945984152674</v>
      </c>
      <c r="E466">
        <f t="shared" si="65"/>
        <v>6.487745029136434</v>
      </c>
      <c r="F466">
        <f t="shared" si="70"/>
        <v>1.4202316818719456</v>
      </c>
      <c r="G466">
        <f t="shared" si="71"/>
        <v>32.2055365617029</v>
      </c>
      <c r="H466">
        <f t="shared" si="66"/>
        <v>10.351944396023821</v>
      </c>
      <c r="J466">
        <f t="shared" si="67"/>
        <v>0.14202316818719457</v>
      </c>
      <c r="K466">
        <f t="shared" si="68"/>
        <v>3.2205536561702899</v>
      </c>
      <c r="L466">
        <v>0</v>
      </c>
    </row>
    <row r="467" spans="1:12" x14ac:dyDescent="0.4">
      <c r="A467">
        <v>455</v>
      </c>
      <c r="B467">
        <f t="shared" si="63"/>
        <v>2.4689378757515037</v>
      </c>
      <c r="C467">
        <f t="shared" si="64"/>
        <v>4.3077760634610031E-2</v>
      </c>
      <c r="D467">
        <f t="shared" si="69"/>
        <v>164.82801273890465</v>
      </c>
      <c r="E467">
        <f t="shared" si="65"/>
        <v>6.35152469267193</v>
      </c>
      <c r="F467">
        <f t="shared" si="70"/>
        <v>1.3884757212436527</v>
      </c>
      <c r="G467">
        <f t="shared" si="71"/>
        <v>32.201925307286032</v>
      </c>
      <c r="H467">
        <f t="shared" si="66"/>
        <v>10.120641259466083</v>
      </c>
      <c r="J467">
        <f t="shared" si="67"/>
        <v>0.13884757212436527</v>
      </c>
      <c r="K467">
        <f t="shared" si="68"/>
        <v>3.2201925307286032</v>
      </c>
      <c r="L467">
        <v>0</v>
      </c>
    </row>
    <row r="468" spans="1:12" x14ac:dyDescent="0.4">
      <c r="A468">
        <v>456</v>
      </c>
      <c r="B468">
        <f t="shared" si="63"/>
        <v>2.4128256513026045</v>
      </c>
      <c r="C468">
        <f t="shared" si="64"/>
        <v>4.2099306167761079E-2</v>
      </c>
      <c r="D468">
        <f t="shared" si="69"/>
        <v>165.1572885249457</v>
      </c>
      <c r="E468">
        <f t="shared" si="65"/>
        <v>6.2149429118758519</v>
      </c>
      <c r="F468">
        <f t="shared" si="70"/>
        <v>1.3567327981712387</v>
      </c>
      <c r="G468">
        <f t="shared" si="71"/>
        <v>32.198391959516997</v>
      </c>
      <c r="H468">
        <f t="shared" si="66"/>
        <v>9.8895980121414251</v>
      </c>
      <c r="J468">
        <f t="shared" si="67"/>
        <v>0.13567327981712388</v>
      </c>
      <c r="K468">
        <f t="shared" si="68"/>
        <v>3.2198391959516997</v>
      </c>
      <c r="L468">
        <v>0</v>
      </c>
    </row>
    <row r="469" spans="1:12" x14ac:dyDescent="0.4">
      <c r="A469">
        <v>457</v>
      </c>
      <c r="B469">
        <f t="shared" si="63"/>
        <v>2.3567134268537089</v>
      </c>
      <c r="C469">
        <f t="shared" si="64"/>
        <v>4.1120811322930169E-2</v>
      </c>
      <c r="D469">
        <f t="shared" si="69"/>
        <v>165.48728719964978</v>
      </c>
      <c r="E469">
        <f t="shared" si="65"/>
        <v>6.0779996867482566</v>
      </c>
      <c r="F469">
        <f t="shared" si="70"/>
        <v>1.325002624342873</v>
      </c>
      <c r="G469">
        <f t="shared" si="71"/>
        <v>32.194936586336475</v>
      </c>
      <c r="H469">
        <f t="shared" si="66"/>
        <v>9.6588009837137854</v>
      </c>
      <c r="J469">
        <f t="shared" si="67"/>
        <v>0.13250026243428731</v>
      </c>
      <c r="K469">
        <f t="shared" si="68"/>
        <v>3.2194936586336476</v>
      </c>
      <c r="L469">
        <v>0</v>
      </c>
    </row>
    <row r="470" spans="1:12" x14ac:dyDescent="0.4">
      <c r="A470">
        <v>458</v>
      </c>
      <c r="B470">
        <f t="shared" si="63"/>
        <v>2.3006012024048097</v>
      </c>
      <c r="C470">
        <f t="shared" si="64"/>
        <v>4.0142277038604075E-2</v>
      </c>
      <c r="D470">
        <f t="shared" si="69"/>
        <v>165.81800876301702</v>
      </c>
      <c r="E470">
        <f t="shared" si="65"/>
        <v>5.9406950172890873</v>
      </c>
      <c r="F470">
        <f t="shared" si="70"/>
        <v>1.2932849113634748</v>
      </c>
      <c r="G470">
        <f t="shared" si="71"/>
        <v>32.19155925815015</v>
      </c>
      <c r="H470">
        <f t="shared" si="66"/>
        <v>9.4282364869414668</v>
      </c>
      <c r="J470">
        <f t="shared" si="67"/>
        <v>0.12932849113634748</v>
      </c>
      <c r="K470">
        <f t="shared" si="68"/>
        <v>3.2191559258150151</v>
      </c>
      <c r="L470">
        <v>0</v>
      </c>
    </row>
    <row r="471" spans="1:12" x14ac:dyDescent="0.4">
      <c r="A471">
        <v>459</v>
      </c>
      <c r="B471">
        <f t="shared" si="63"/>
        <v>2.2444889779559105</v>
      </c>
      <c r="C471">
        <f t="shared" si="64"/>
        <v>3.9163704253307598E-2</v>
      </c>
      <c r="D471">
        <f t="shared" si="69"/>
        <v>166.14945321504734</v>
      </c>
      <c r="E471">
        <f t="shared" si="65"/>
        <v>5.8030289034983724</v>
      </c>
      <c r="F471">
        <f t="shared" si="70"/>
        <v>1.2615793707415375</v>
      </c>
      <c r="G471">
        <f t="shared" si="71"/>
        <v>32.188260047847663</v>
      </c>
      <c r="H471">
        <f t="shared" si="66"/>
        <v>9.1978908146056106</v>
      </c>
      <c r="J471">
        <f t="shared" si="67"/>
        <v>0.12615793707415374</v>
      </c>
      <c r="K471">
        <f t="shared" si="68"/>
        <v>3.2188260047847663</v>
      </c>
      <c r="L471">
        <v>0</v>
      </c>
    </row>
    <row r="472" spans="1:12" x14ac:dyDescent="0.4">
      <c r="A472">
        <v>460</v>
      </c>
      <c r="B472">
        <f t="shared" si="63"/>
        <v>2.1883767535070149</v>
      </c>
      <c r="C472">
        <f t="shared" si="64"/>
        <v>3.8185093905602437E-2</v>
      </c>
      <c r="D472">
        <f t="shared" si="69"/>
        <v>166.48162055574073</v>
      </c>
      <c r="E472">
        <f t="shared" si="65"/>
        <v>5.6650013453761261</v>
      </c>
      <c r="F472">
        <f t="shared" si="70"/>
        <v>1.229885713875748</v>
      </c>
      <c r="G472">
        <f t="shared" si="71"/>
        <v>32.185039030822018</v>
      </c>
      <c r="H472">
        <f t="shared" si="66"/>
        <v>8.96775023640709</v>
      </c>
      <c r="J472">
        <f t="shared" si="67"/>
        <v>0.1229885713875748</v>
      </c>
      <c r="K472">
        <f t="shared" si="68"/>
        <v>3.218503903082202</v>
      </c>
      <c r="L472">
        <v>0</v>
      </c>
    </row>
    <row r="473" spans="1:12" x14ac:dyDescent="0.4">
      <c r="A473">
        <v>461</v>
      </c>
      <c r="B473">
        <f t="shared" si="63"/>
        <v>2.1322645290581157</v>
      </c>
      <c r="C473">
        <f t="shared" si="64"/>
        <v>3.7206446934086153E-2</v>
      </c>
      <c r="D473">
        <f t="shared" si="69"/>
        <v>166.81451078509724</v>
      </c>
      <c r="E473">
        <f t="shared" si="65"/>
        <v>5.52661234292232</v>
      </c>
      <c r="F473">
        <f t="shared" si="70"/>
        <v>1.198203652041544</v>
      </c>
      <c r="G473">
        <f t="shared" si="71"/>
        <v>32.181896284989065</v>
      </c>
      <c r="H473">
        <f t="shared" si="66"/>
        <v>8.7378009958306748</v>
      </c>
      <c r="J473">
        <f t="shared" si="67"/>
        <v>0.1198203652041544</v>
      </c>
      <c r="K473">
        <f t="shared" si="68"/>
        <v>3.2181896284989064</v>
      </c>
      <c r="L473">
        <v>0</v>
      </c>
    </row>
    <row r="474" spans="1:12" x14ac:dyDescent="0.4">
      <c r="A474">
        <v>462</v>
      </c>
      <c r="B474">
        <f t="shared" si="63"/>
        <v>2.0761523046092165</v>
      </c>
      <c r="C474">
        <f t="shared" si="64"/>
        <v>3.6227764277391605E-2</v>
      </c>
      <c r="D474">
        <f t="shared" si="69"/>
        <v>167.14812390311687</v>
      </c>
      <c r="E474">
        <f t="shared" si="65"/>
        <v>5.387861896136954</v>
      </c>
      <c r="F474">
        <f t="shared" si="70"/>
        <v>1.1665328963775699</v>
      </c>
      <c r="G474">
        <f t="shared" si="71"/>
        <v>32.178831890807409</v>
      </c>
      <c r="H474">
        <f t="shared" si="66"/>
        <v>8.5080293069747537</v>
      </c>
      <c r="J474">
        <f t="shared" si="67"/>
        <v>0.11665328963775698</v>
      </c>
      <c r="K474">
        <f t="shared" si="68"/>
        <v>3.2178831890807409</v>
      </c>
      <c r="L474">
        <v>0</v>
      </c>
    </row>
    <row r="475" spans="1:12" x14ac:dyDescent="0.4">
      <c r="A475">
        <v>463</v>
      </c>
      <c r="B475">
        <f t="shared" si="63"/>
        <v>2.0200400801603209</v>
      </c>
      <c r="C475">
        <f t="shared" si="64"/>
        <v>3.5249046874185896E-2</v>
      </c>
      <c r="D475">
        <f t="shared" si="69"/>
        <v>167.48245990979956</v>
      </c>
      <c r="E475">
        <f t="shared" si="65"/>
        <v>5.2487500050200566</v>
      </c>
      <c r="F475">
        <f t="shared" si="70"/>
        <v>1.1348731578719902</v>
      </c>
      <c r="G475">
        <f t="shared" si="71"/>
        <v>32.175845931298554</v>
      </c>
      <c r="H475">
        <f t="shared" si="66"/>
        <v>8.2784213513446705</v>
      </c>
      <c r="J475">
        <f t="shared" si="67"/>
        <v>0.11348731578719902</v>
      </c>
      <c r="K475">
        <f t="shared" si="68"/>
        <v>3.2175845931298555</v>
      </c>
      <c r="L475">
        <v>0</v>
      </c>
    </row>
    <row r="476" spans="1:12" x14ac:dyDescent="0.4">
      <c r="A476">
        <v>464</v>
      </c>
      <c r="B476">
        <f t="shared" si="63"/>
        <v>1.9639278557114217</v>
      </c>
      <c r="C476">
        <f t="shared" si="64"/>
        <v>3.4270295663169248E-2</v>
      </c>
      <c r="D476">
        <f t="shared" si="69"/>
        <v>167.81751880514537</v>
      </c>
      <c r="E476">
        <f t="shared" si="65"/>
        <v>5.1092766695715994</v>
      </c>
      <c r="F476">
        <f t="shared" si="70"/>
        <v>1.1032241473487607</v>
      </c>
      <c r="G476">
        <f t="shared" si="71"/>
        <v>32.172938492067345</v>
      </c>
      <c r="H476">
        <f t="shared" si="66"/>
        <v>8.04896327460796</v>
      </c>
      <c r="J476">
        <f t="shared" si="67"/>
        <v>0.11032241473487607</v>
      </c>
      <c r="K476">
        <f t="shared" si="68"/>
        <v>3.2172938492067344</v>
      </c>
      <c r="L476">
        <v>0</v>
      </c>
    </row>
    <row r="477" spans="1:12" x14ac:dyDescent="0.4">
      <c r="A477">
        <v>465</v>
      </c>
      <c r="B477">
        <f t="shared" si="63"/>
        <v>1.9078156312625261</v>
      </c>
      <c r="C477">
        <f t="shared" si="64"/>
        <v>3.3291511583074571E-2</v>
      </c>
      <c r="D477">
        <f t="shared" si="69"/>
        <v>168.15330058915424</v>
      </c>
      <c r="E477">
        <f t="shared" si="65"/>
        <v>4.9694418897916108</v>
      </c>
      <c r="F477">
        <f t="shared" si="70"/>
        <v>1.0715855754537544</v>
      </c>
      <c r="G477">
        <f t="shared" si="71"/>
        <v>32.170109661322755</v>
      </c>
      <c r="H477">
        <f t="shared" si="66"/>
        <v>7.8196411833098898</v>
      </c>
      <c r="J477">
        <f t="shared" si="67"/>
        <v>0.10715855754537544</v>
      </c>
      <c r="K477">
        <f t="shared" si="68"/>
        <v>3.2170109661322757</v>
      </c>
      <c r="L477">
        <v>0</v>
      </c>
    </row>
    <row r="478" spans="1:12" x14ac:dyDescent="0.4">
      <c r="A478">
        <v>466</v>
      </c>
      <c r="B478">
        <f t="shared" si="63"/>
        <v>1.8517034068136269</v>
      </c>
      <c r="C478">
        <f t="shared" si="64"/>
        <v>3.2312695572666056E-2</v>
      </c>
      <c r="D478">
        <f t="shared" si="69"/>
        <v>168.48980526182626</v>
      </c>
      <c r="E478">
        <f t="shared" si="65"/>
        <v>4.8292456656800482</v>
      </c>
      <c r="F478">
        <f t="shared" si="70"/>
        <v>1.0399571526407376</v>
      </c>
      <c r="G478">
        <f t="shared" si="71"/>
        <v>32.167359529898896</v>
      </c>
      <c r="H478">
        <f t="shared" si="66"/>
        <v>7.5904411415468473</v>
      </c>
      <c r="J478">
        <f t="shared" si="67"/>
        <v>0.10399571526407377</v>
      </c>
      <c r="K478">
        <f t="shared" si="68"/>
        <v>3.2167359529898896</v>
      </c>
      <c r="L478">
        <v>0</v>
      </c>
    </row>
    <row r="479" spans="1:12" x14ac:dyDescent="0.4">
      <c r="A479">
        <v>467</v>
      </c>
      <c r="B479">
        <f t="shared" si="63"/>
        <v>1.7955911823647277</v>
      </c>
      <c r="C479">
        <f t="shared" si="64"/>
        <v>3.133384857073869E-2</v>
      </c>
      <c r="D479">
        <f t="shared" si="69"/>
        <v>168.82703282316137</v>
      </c>
      <c r="E479">
        <f t="shared" si="65"/>
        <v>4.6886879972369542</v>
      </c>
      <c r="F479">
        <f t="shared" si="70"/>
        <v>1.0083385891573076</v>
      </c>
      <c r="G479">
        <f t="shared" si="71"/>
        <v>32.164688191276426</v>
      </c>
      <c r="H479">
        <f t="shared" si="66"/>
        <v>7.3613491675964777</v>
      </c>
      <c r="J479">
        <f t="shared" si="67"/>
        <v>0.10083385891573075</v>
      </c>
      <c r="K479">
        <f t="shared" si="68"/>
        <v>3.2164688191276425</v>
      </c>
      <c r="L479">
        <v>0</v>
      </c>
    </row>
    <row r="480" spans="1:12" x14ac:dyDescent="0.4">
      <c r="A480">
        <v>468</v>
      </c>
      <c r="B480">
        <f t="shared" si="63"/>
        <v>1.7394789579158321</v>
      </c>
      <c r="C480">
        <f t="shared" si="64"/>
        <v>3.0354971516117189E-2</v>
      </c>
      <c r="D480">
        <f t="shared" si="69"/>
        <v>169.16498327315955</v>
      </c>
      <c r="E480">
        <f t="shared" si="65"/>
        <v>4.5477688844623145</v>
      </c>
      <c r="F480">
        <f t="shared" si="70"/>
        <v>0.97672959503063905</v>
      </c>
      <c r="G480">
        <f t="shared" si="71"/>
        <v>32.162095741604212</v>
      </c>
      <c r="H480">
        <f t="shared" si="66"/>
        <v>7.132351230501742</v>
      </c>
      <c r="J480">
        <f t="shared" si="67"/>
        <v>9.76729595030639E-2</v>
      </c>
      <c r="K480">
        <f t="shared" si="68"/>
        <v>3.2162095741604211</v>
      </c>
      <c r="L480">
        <v>0</v>
      </c>
    </row>
    <row r="481" spans="1:12" x14ac:dyDescent="0.4">
      <c r="A481">
        <v>469</v>
      </c>
      <c r="B481">
        <f t="shared" si="63"/>
        <v>1.6833667334669329</v>
      </c>
      <c r="C481">
        <f t="shared" si="64"/>
        <v>2.9376065347654912E-2</v>
      </c>
      <c r="D481">
        <f t="shared" si="69"/>
        <v>169.50365661182084</v>
      </c>
      <c r="E481">
        <f t="shared" si="65"/>
        <v>4.4064883273561151</v>
      </c>
      <c r="F481">
        <f t="shared" si="70"/>
        <v>0.94512988005318688</v>
      </c>
      <c r="G481">
        <f t="shared" si="71"/>
        <v>32.159582279721363</v>
      </c>
      <c r="H481">
        <f t="shared" si="66"/>
        <v>6.9034332466074257</v>
      </c>
      <c r="J481">
        <f t="shared" si="67"/>
        <v>9.4512988005318682E-2</v>
      </c>
      <c r="K481">
        <f t="shared" si="68"/>
        <v>3.2159582279721364</v>
      </c>
      <c r="L481">
        <v>0</v>
      </c>
    </row>
    <row r="482" spans="1:12" x14ac:dyDescent="0.4">
      <c r="A482">
        <v>470</v>
      </c>
      <c r="B482">
        <f t="shared" si="63"/>
        <v>1.6272545090180373</v>
      </c>
      <c r="C482">
        <f t="shared" si="64"/>
        <v>2.8397131004233387E-2</v>
      </c>
      <c r="D482">
        <f t="shared" si="69"/>
        <v>169.84305283914523</v>
      </c>
      <c r="E482">
        <f t="shared" si="65"/>
        <v>4.26484632591837</v>
      </c>
      <c r="F482">
        <f t="shared" si="70"/>
        <v>0.91353915376823158</v>
      </c>
      <c r="G482">
        <f t="shared" si="71"/>
        <v>32.157147907179557</v>
      </c>
      <c r="H482">
        <f t="shared" si="66"/>
        <v>6.6745810760469464</v>
      </c>
      <c r="J482">
        <f t="shared" si="67"/>
        <v>9.1353915376823164E-2</v>
      </c>
      <c r="K482">
        <f t="shared" si="68"/>
        <v>3.2157147907179557</v>
      </c>
      <c r="L482">
        <v>0</v>
      </c>
    </row>
    <row r="483" spans="1:12" x14ac:dyDescent="0.4">
      <c r="A483">
        <v>471</v>
      </c>
      <c r="B483">
        <f t="shared" si="63"/>
        <v>1.5711422845691381</v>
      </c>
      <c r="C483">
        <f t="shared" si="64"/>
        <v>2.7418169424760917E-2</v>
      </c>
      <c r="D483">
        <f t="shared" si="69"/>
        <v>170.18317195513271</v>
      </c>
      <c r="E483">
        <f t="shared" si="65"/>
        <v>4.1228428801490793</v>
      </c>
      <c r="F483">
        <f t="shared" si="70"/>
        <v>0.88195712545526639</v>
      </c>
      <c r="G483">
        <f t="shared" si="71"/>
        <v>32.154792728265761</v>
      </c>
      <c r="H483">
        <f t="shared" si="66"/>
        <v>6.4457805191769575</v>
      </c>
      <c r="J483">
        <f t="shared" si="67"/>
        <v>8.8195712545526633E-2</v>
      </c>
      <c r="K483">
        <f t="shared" si="68"/>
        <v>3.2154792728265762</v>
      </c>
      <c r="L483">
        <v>0</v>
      </c>
    </row>
    <row r="484" spans="1:12" x14ac:dyDescent="0.4">
      <c r="A484">
        <v>472</v>
      </c>
      <c r="B484">
        <f t="shared" si="63"/>
        <v>1.5150300601202389</v>
      </c>
      <c r="C484">
        <f t="shared" si="64"/>
        <v>2.6439181548172111E-2</v>
      </c>
      <c r="D484">
        <f t="shared" si="69"/>
        <v>170.5240139597833</v>
      </c>
      <c r="E484">
        <f t="shared" si="65"/>
        <v>3.9804779900482288</v>
      </c>
      <c r="F484">
        <f t="shared" si="70"/>
        <v>0.8503835041153307</v>
      </c>
      <c r="G484">
        <f t="shared" si="71"/>
        <v>32.152516850025179</v>
      </c>
      <c r="H484">
        <f t="shared" si="66"/>
        <v>6.2170173129580126</v>
      </c>
      <c r="J484">
        <f t="shared" si="67"/>
        <v>8.503835041153307E-2</v>
      </c>
      <c r="K484">
        <f t="shared" si="68"/>
        <v>3.2152516850025181</v>
      </c>
      <c r="L484">
        <v>0</v>
      </c>
    </row>
    <row r="485" spans="1:12" x14ac:dyDescent="0.4">
      <c r="A485">
        <v>473</v>
      </c>
      <c r="B485">
        <f t="shared" si="63"/>
        <v>1.4589178356713433</v>
      </c>
      <c r="C485">
        <f t="shared" si="64"/>
        <v>2.54601683134268E-2</v>
      </c>
      <c r="D485">
        <f t="shared" si="69"/>
        <v>170.86557885309696</v>
      </c>
      <c r="E485">
        <f t="shared" si="65"/>
        <v>3.8377516556158469</v>
      </c>
      <c r="F485">
        <f t="shared" si="70"/>
        <v>0.81881799845614456</v>
      </c>
      <c r="G485">
        <f t="shared" si="71"/>
        <v>32.150320382284683</v>
      </c>
      <c r="H485">
        <f t="shared" si="66"/>
        <v>5.9882771272787387</v>
      </c>
      <c r="J485">
        <f t="shared" si="67"/>
        <v>8.1881799845614459E-2</v>
      </c>
      <c r="K485">
        <f t="shared" si="68"/>
        <v>3.2150320382284683</v>
      </c>
      <c r="L485">
        <v>0</v>
      </c>
    </row>
    <row r="486" spans="1:12" x14ac:dyDescent="0.4">
      <c r="A486">
        <v>474</v>
      </c>
      <c r="B486">
        <f t="shared" si="63"/>
        <v>1.4028056112224441</v>
      </c>
      <c r="C486">
        <f t="shared" si="64"/>
        <v>2.4481130659508955E-2</v>
      </c>
      <c r="D486">
        <f t="shared" si="69"/>
        <v>171.20786663507377</v>
      </c>
      <c r="E486">
        <f t="shared" si="65"/>
        <v>3.6946638768518909</v>
      </c>
      <c r="F486">
        <f t="shared" si="70"/>
        <v>0.78726031687719389</v>
      </c>
      <c r="G486">
        <f t="shared" si="71"/>
        <v>32.1482034376765</v>
      </c>
      <c r="H486">
        <f t="shared" si="66"/>
        <v>5.7595455612211657</v>
      </c>
      <c r="J486">
        <f t="shared" si="67"/>
        <v>7.8726031687719383E-2</v>
      </c>
      <c r="K486">
        <f t="shared" si="68"/>
        <v>3.2148203437676499</v>
      </c>
      <c r="L486">
        <v>0</v>
      </c>
    </row>
    <row r="487" spans="1:12" x14ac:dyDescent="0.4">
      <c r="A487">
        <v>475</v>
      </c>
      <c r="B487">
        <f t="shared" si="63"/>
        <v>1.3466933867735484</v>
      </c>
      <c r="C487">
        <f t="shared" si="64"/>
        <v>2.3502069525426217E-2</v>
      </c>
      <c r="D487">
        <f t="shared" si="69"/>
        <v>171.55087730571361</v>
      </c>
      <c r="E487">
        <f t="shared" si="65"/>
        <v>3.5512146537564178</v>
      </c>
      <c r="F487">
        <f t="shared" si="70"/>
        <v>0.75571016745460928</v>
      </c>
      <c r="G487">
        <f t="shared" si="71"/>
        <v>32.146166131662319</v>
      </c>
      <c r="H487">
        <f t="shared" si="66"/>
        <v>5.5308081392651598</v>
      </c>
      <c r="J487">
        <f t="shared" si="67"/>
        <v>7.5571016745460934E-2</v>
      </c>
      <c r="K487">
        <f t="shared" si="68"/>
        <v>3.2146166131662319</v>
      </c>
      <c r="L487">
        <v>0</v>
      </c>
    </row>
    <row r="488" spans="1:12" x14ac:dyDescent="0.4">
      <c r="A488">
        <v>476</v>
      </c>
      <c r="B488">
        <f t="shared" si="63"/>
        <v>1.2905811623246493</v>
      </c>
      <c r="C488">
        <f t="shared" si="64"/>
        <v>2.2522985850208489E-2</v>
      </c>
      <c r="D488">
        <f t="shared" si="69"/>
        <v>171.8946108650166</v>
      </c>
      <c r="E488">
        <f t="shared" si="65"/>
        <v>3.4074039863293706</v>
      </c>
      <c r="F488">
        <f t="shared" si="70"/>
        <v>0.72416725792594738</v>
      </c>
      <c r="G488">
        <f t="shared" si="71"/>
        <v>32.14420858255771</v>
      </c>
      <c r="H488">
        <f t="shared" si="66"/>
        <v>5.3020503074287797</v>
      </c>
      <c r="J488">
        <f t="shared" si="67"/>
        <v>7.2416725792594741E-2</v>
      </c>
      <c r="K488">
        <f t="shared" si="68"/>
        <v>3.214420858255771</v>
      </c>
      <c r="L488">
        <v>0</v>
      </c>
    </row>
    <row r="489" spans="1:12" x14ac:dyDescent="0.4">
      <c r="A489">
        <v>477</v>
      </c>
      <c r="B489">
        <f t="shared" si="63"/>
        <v>1.2344689378757501</v>
      </c>
      <c r="C489">
        <f t="shared" si="64"/>
        <v>2.1543880572907487E-2</v>
      </c>
      <c r="D489">
        <f t="shared" si="69"/>
        <v>172.23906731298268</v>
      </c>
      <c r="E489">
        <f t="shared" si="65"/>
        <v>3.2632318745707778</v>
      </c>
      <c r="F489">
        <f t="shared" si="70"/>
        <v>0.69263129567482074</v>
      </c>
      <c r="G489">
        <f t="shared" si="71"/>
        <v>32.142330911556961</v>
      </c>
      <c r="H489">
        <f t="shared" si="66"/>
        <v>5.0732574293429513</v>
      </c>
      <c r="J489">
        <f t="shared" si="67"/>
        <v>6.9263129567482068E-2</v>
      </c>
      <c r="K489">
        <f t="shared" si="68"/>
        <v>3.214233091155696</v>
      </c>
      <c r="L489">
        <v>0</v>
      </c>
    </row>
    <row r="490" spans="1:12" x14ac:dyDescent="0.4">
      <c r="A490">
        <v>478</v>
      </c>
      <c r="B490">
        <f t="shared" si="63"/>
        <v>1.1783567134268544</v>
      </c>
      <c r="C490">
        <f t="shared" si="64"/>
        <v>2.056475463259564E-2</v>
      </c>
      <c r="D490">
        <f t="shared" si="69"/>
        <v>172.58424664961186</v>
      </c>
      <c r="E490">
        <f t="shared" si="65"/>
        <v>3.1186983184806394</v>
      </c>
      <c r="F490">
        <f t="shared" si="70"/>
        <v>0.66110198771543016</v>
      </c>
      <c r="G490">
        <f t="shared" si="71"/>
        <v>32.140533242758295</v>
      </c>
      <c r="H490">
        <f t="shared" si="66"/>
        <v>4.8444147822570338</v>
      </c>
      <c r="J490">
        <f t="shared" si="67"/>
        <v>6.6110198771543019E-2</v>
      </c>
      <c r="K490">
        <f t="shared" si="68"/>
        <v>3.2140533242758296</v>
      </c>
      <c r="L490">
        <v>0</v>
      </c>
    </row>
    <row r="491" spans="1:12" x14ac:dyDescent="0.4">
      <c r="A491">
        <v>479</v>
      </c>
      <c r="B491">
        <f t="shared" si="63"/>
        <v>1.1222444889779553</v>
      </c>
      <c r="C491">
        <f t="shared" si="64"/>
        <v>1.9585608968365024E-2</v>
      </c>
      <c r="D491">
        <f t="shared" si="69"/>
        <v>172.93014887490412</v>
      </c>
      <c r="E491">
        <f t="shared" si="65"/>
        <v>2.9738033180589696</v>
      </c>
      <c r="F491">
        <f t="shared" si="70"/>
        <v>0.62957904067684733</v>
      </c>
      <c r="G491">
        <f t="shared" si="71"/>
        <v>32.138815703189437</v>
      </c>
      <c r="H491">
        <f t="shared" si="66"/>
        <v>4.6155075529728533</v>
      </c>
      <c r="J491">
        <f t="shared" si="67"/>
        <v>6.2957904067684728E-2</v>
      </c>
      <c r="K491">
        <f t="shared" si="68"/>
        <v>3.2138815703189438</v>
      </c>
      <c r="L491">
        <v>0</v>
      </c>
    </row>
    <row r="492" spans="1:12" x14ac:dyDescent="0.4">
      <c r="A492">
        <v>480</v>
      </c>
      <c r="B492">
        <f t="shared" si="63"/>
        <v>1.0661322645290596</v>
      </c>
      <c r="C492">
        <f t="shared" si="64"/>
        <v>1.8606444519326866E-2</v>
      </c>
      <c r="D492">
        <f t="shared" si="69"/>
        <v>173.27677398885947</v>
      </c>
      <c r="E492">
        <f t="shared" si="65"/>
        <v>2.8285468733057257</v>
      </c>
      <c r="F492">
        <f t="shared" si="70"/>
        <v>0.59806216078729524</v>
      </c>
      <c r="G492">
        <f t="shared" si="71"/>
        <v>32.1371784228336</v>
      </c>
      <c r="H492">
        <f t="shared" si="66"/>
        <v>4.3865208337046084</v>
      </c>
      <c r="J492">
        <f t="shared" si="67"/>
        <v>5.9806216078729525E-2</v>
      </c>
      <c r="K492">
        <f t="shared" si="68"/>
        <v>3.2137178422833599</v>
      </c>
      <c r="L492">
        <v>0</v>
      </c>
    </row>
    <row r="493" spans="1:12" x14ac:dyDescent="0.4">
      <c r="A493">
        <v>481</v>
      </c>
      <c r="B493">
        <f t="shared" si="63"/>
        <v>1.0100200400801604</v>
      </c>
      <c r="C493">
        <f t="shared" si="64"/>
        <v>1.7627262224610162E-2</v>
      </c>
      <c r="D493">
        <f t="shared" si="69"/>
        <v>173.62412199147795</v>
      </c>
      <c r="E493">
        <f t="shared" si="65"/>
        <v>2.6829289842209505</v>
      </c>
      <c r="F493">
        <f t="shared" si="70"/>
        <v>0.56655105385817317</v>
      </c>
      <c r="G493">
        <f t="shared" si="71"/>
        <v>32.135621534655868</v>
      </c>
      <c r="H493">
        <f t="shared" si="66"/>
        <v>4.1574396178614696</v>
      </c>
      <c r="J493">
        <f t="shared" si="67"/>
        <v>5.665510538581732E-2</v>
      </c>
      <c r="K493">
        <f t="shared" si="68"/>
        <v>3.2135621534655869</v>
      </c>
      <c r="L493">
        <v>0</v>
      </c>
    </row>
    <row r="494" spans="1:12" x14ac:dyDescent="0.4">
      <c r="A494">
        <v>482</v>
      </c>
      <c r="B494">
        <f t="shared" si="63"/>
        <v>0.95390781563126126</v>
      </c>
      <c r="C494">
        <f t="shared" si="64"/>
        <v>1.6648063023361217E-2</v>
      </c>
      <c r="D494">
        <f t="shared" si="69"/>
        <v>173.97219288275951</v>
      </c>
      <c r="E494">
        <f t="shared" si="65"/>
        <v>2.5369496508046154</v>
      </c>
      <c r="F494">
        <f t="shared" si="70"/>
        <v>0.53504542526796695</v>
      </c>
      <c r="G494">
        <f t="shared" si="71"/>
        <v>32.134145174630021</v>
      </c>
      <c r="H494">
        <f t="shared" si="66"/>
        <v>3.928248795750072</v>
      </c>
      <c r="J494">
        <f t="shared" si="67"/>
        <v>5.3504542526796692E-2</v>
      </c>
      <c r="K494">
        <f t="shared" si="68"/>
        <v>3.213414517463002</v>
      </c>
      <c r="L494">
        <v>0</v>
      </c>
    </row>
    <row r="495" spans="1:12" x14ac:dyDescent="0.4">
      <c r="A495">
        <v>483</v>
      </c>
      <c r="B495">
        <f t="shared" si="63"/>
        <v>0.89779559118236563</v>
      </c>
      <c r="C495">
        <f t="shared" si="64"/>
        <v>1.5668847854742544E-2</v>
      </c>
      <c r="D495">
        <f t="shared" si="69"/>
        <v>174.32098666270417</v>
      </c>
      <c r="E495">
        <f t="shared" si="65"/>
        <v>2.3906088730567348</v>
      </c>
      <c r="F495">
        <f t="shared" si="70"/>
        <v>0.50354497994603997</v>
      </c>
      <c r="G495">
        <f t="shared" si="71"/>
        <v>32.132749481765686</v>
      </c>
      <c r="H495">
        <f t="shared" si="66"/>
        <v>3.6989331501937603</v>
      </c>
      <c r="J495">
        <f t="shared" si="67"/>
        <v>5.0354497994603994E-2</v>
      </c>
      <c r="K495">
        <f t="shared" si="68"/>
        <v>3.2132749481765686</v>
      </c>
      <c r="L495">
        <v>0</v>
      </c>
    </row>
    <row r="496" spans="1:12" x14ac:dyDescent="0.4">
      <c r="A496">
        <v>484</v>
      </c>
      <c r="B496">
        <f t="shared" si="63"/>
        <v>0.84168336673346644</v>
      </c>
      <c r="C496">
        <f t="shared" si="64"/>
        <v>1.4689617657931796E-2</v>
      </c>
      <c r="D496">
        <f t="shared" si="69"/>
        <v>174.67050333131192</v>
      </c>
      <c r="E496">
        <f t="shared" si="65"/>
        <v>2.2439066509773085</v>
      </c>
      <c r="F496">
        <f t="shared" si="70"/>
        <v>0.47204942235616199</v>
      </c>
      <c r="G496">
        <f t="shared" si="71"/>
        <v>32.131434598136011</v>
      </c>
      <c r="H496">
        <f t="shared" si="66"/>
        <v>3.4694773520653772</v>
      </c>
      <c r="J496">
        <f t="shared" si="67"/>
        <v>4.72049422356162E-2</v>
      </c>
      <c r="K496">
        <f t="shared" si="68"/>
        <v>3.2131434598136011</v>
      </c>
      <c r="L496">
        <v>0</v>
      </c>
    </row>
    <row r="497" spans="1:12" x14ac:dyDescent="0.4">
      <c r="A497">
        <v>485</v>
      </c>
      <c r="B497">
        <f t="shared" si="63"/>
        <v>0.78557114228456726</v>
      </c>
      <c r="C497">
        <f t="shared" si="64"/>
        <v>1.3710373372121212E-2</v>
      </c>
      <c r="D497">
        <f t="shared" si="69"/>
        <v>175.02074288858279</v>
      </c>
      <c r="E497">
        <f t="shared" si="65"/>
        <v>2.0968429845663223</v>
      </c>
      <c r="F497">
        <f t="shared" si="70"/>
        <v>0.44055845648001962</v>
      </c>
      <c r="G497">
        <f t="shared" si="71"/>
        <v>32.130200668905722</v>
      </c>
      <c r="H497">
        <f t="shared" si="66"/>
        <v>3.2398659557305414</v>
      </c>
      <c r="J497">
        <f t="shared" si="67"/>
        <v>4.4055845648001961E-2</v>
      </c>
      <c r="K497">
        <f t="shared" si="68"/>
        <v>3.2130200668905724</v>
      </c>
      <c r="L497">
        <v>0</v>
      </c>
    </row>
    <row r="498" spans="1:12" x14ac:dyDescent="0.4">
      <c r="A498">
        <v>486</v>
      </c>
      <c r="B498">
        <f t="shared" si="63"/>
        <v>0.72945891783567163</v>
      </c>
      <c r="C498">
        <f t="shared" si="64"/>
        <v>1.2731115936516553E-2</v>
      </c>
      <c r="D498">
        <f t="shared" si="69"/>
        <v>175.37170533451672</v>
      </c>
      <c r="E498">
        <f t="shared" si="65"/>
        <v>1.9494178738238048</v>
      </c>
      <c r="F498">
        <f t="shared" si="70"/>
        <v>0.40907178580045717</v>
      </c>
      <c r="G498">
        <f t="shared" si="71"/>
        <v>32.129047842359626</v>
      </c>
      <c r="H498">
        <f t="shared" si="66"/>
        <v>3.010083394397761</v>
      </c>
      <c r="J498">
        <f t="shared" si="67"/>
        <v>4.0907178580045715E-2</v>
      </c>
      <c r="K498">
        <f t="shared" si="68"/>
        <v>3.2129047842359624</v>
      </c>
      <c r="L498">
        <v>0</v>
      </c>
    </row>
    <row r="499" spans="1:12" x14ac:dyDescent="0.4">
      <c r="A499">
        <v>487</v>
      </c>
      <c r="B499">
        <f t="shared" si="63"/>
        <v>0.67334669338677244</v>
      </c>
      <c r="C499">
        <f t="shared" si="64"/>
        <v>1.1751846290336003E-2</v>
      </c>
      <c r="D499">
        <f t="shared" si="69"/>
        <v>175.7233906691138</v>
      </c>
      <c r="E499">
        <f t="shared" si="65"/>
        <v>1.8016313187497133</v>
      </c>
      <c r="F499">
        <f t="shared" si="70"/>
        <v>0.37758911328460215</v>
      </c>
      <c r="G499">
        <f t="shared" si="71"/>
        <v>32.12797626993153</v>
      </c>
      <c r="H499">
        <f t="shared" si="66"/>
        <v>2.7801139753719797</v>
      </c>
      <c r="J499">
        <f t="shared" si="67"/>
        <v>3.7758911328460217E-2</v>
      </c>
      <c r="K499">
        <f t="shared" si="68"/>
        <v>3.2127976269931531</v>
      </c>
      <c r="L499">
        <v>0</v>
      </c>
    </row>
    <row r="500" spans="1:12" x14ac:dyDescent="0.4">
      <c r="A500">
        <v>488</v>
      </c>
      <c r="B500">
        <f t="shared" si="63"/>
        <v>0.61723446893787681</v>
      </c>
      <c r="C500">
        <f t="shared" si="64"/>
        <v>1.0772565372809705E-2</v>
      </c>
      <c r="D500">
        <f t="shared" si="69"/>
        <v>176.07579889237391</v>
      </c>
      <c r="E500">
        <f t="shared" si="65"/>
        <v>1.6534833193441045</v>
      </c>
      <c r="F500">
        <f t="shared" si="70"/>
        <v>0.34611014136677781</v>
      </c>
      <c r="G500">
        <f t="shared" si="71"/>
        <v>32.126986106233694</v>
      </c>
      <c r="H500">
        <f t="shared" si="66"/>
        <v>2.5499418752081451</v>
      </c>
      <c r="J500">
        <f t="shared" si="67"/>
        <v>3.4611014136677783E-2</v>
      </c>
      <c r="K500">
        <f t="shared" si="68"/>
        <v>3.2126986106233693</v>
      </c>
      <c r="L500">
        <v>0</v>
      </c>
    </row>
    <row r="501" spans="1:12" x14ac:dyDescent="0.4">
      <c r="A501">
        <v>489</v>
      </c>
      <c r="B501">
        <f t="shared" si="63"/>
        <v>0.56112224448897763</v>
      </c>
      <c r="C501">
        <f t="shared" si="64"/>
        <v>9.7932741231783662E-3</v>
      </c>
      <c r="D501">
        <f t="shared" si="69"/>
        <v>176.42893000429717</v>
      </c>
      <c r="E501">
        <f t="shared" si="65"/>
        <v>1.5049738756069218</v>
      </c>
      <c r="F501">
        <f t="shared" si="70"/>
        <v>0.31463457193131544</v>
      </c>
      <c r="G501">
        <f t="shared" si="71"/>
        <v>32.126077509086649</v>
      </c>
      <c r="H501">
        <f t="shared" si="66"/>
        <v>2.3195511347605891</v>
      </c>
      <c r="J501">
        <f t="shared" si="67"/>
        <v>3.1463457193131546E-2</v>
      </c>
      <c r="K501">
        <f t="shared" si="68"/>
        <v>3.2126077509086648</v>
      </c>
      <c r="L501">
        <v>0</v>
      </c>
    </row>
    <row r="502" spans="1:12" x14ac:dyDescent="0.4">
      <c r="A502">
        <v>490</v>
      </c>
      <c r="B502">
        <f t="shared" si="63"/>
        <v>0.50501002004007844</v>
      </c>
      <c r="C502">
        <f t="shared" si="64"/>
        <v>8.8139734806927869E-3</v>
      </c>
      <c r="D502">
        <f t="shared" si="69"/>
        <v>176.78278400488352</v>
      </c>
      <c r="E502">
        <f t="shared" si="65"/>
        <v>1.3561029875381934</v>
      </c>
      <c r="F502">
        <f t="shared" si="70"/>
        <v>0.28316210629511179</v>
      </c>
      <c r="G502">
        <f t="shared" si="71"/>
        <v>32.125250639549591</v>
      </c>
      <c r="H502">
        <f t="shared" si="66"/>
        <v>2.0889256541250165</v>
      </c>
      <c r="J502">
        <f t="shared" si="67"/>
        <v>2.8316210629511181E-2</v>
      </c>
      <c r="K502">
        <f t="shared" si="68"/>
        <v>3.212525063954959</v>
      </c>
      <c r="L502">
        <v>0</v>
      </c>
    </row>
    <row r="503" spans="1:12" x14ac:dyDescent="0.4">
      <c r="A503">
        <v>491</v>
      </c>
      <c r="B503">
        <f t="shared" si="63"/>
        <v>0.44889779559118281</v>
      </c>
      <c r="C503">
        <f t="shared" si="64"/>
        <v>7.834664384612779E-3</v>
      </c>
      <c r="D503">
        <f t="shared" si="69"/>
        <v>177.13736089413294</v>
      </c>
      <c r="E503">
        <f t="shared" si="65"/>
        <v>1.2068706551379336</v>
      </c>
      <c r="F503">
        <f t="shared" si="70"/>
        <v>0.25169244519007911</v>
      </c>
      <c r="G503">
        <f t="shared" si="71"/>
        <v>32.124505661951147</v>
      </c>
      <c r="H503">
        <f t="shared" si="66"/>
        <v>1.8580491874684701</v>
      </c>
      <c r="J503">
        <f t="shared" si="67"/>
        <v>2.516924451900791E-2</v>
      </c>
      <c r="K503">
        <f t="shared" si="68"/>
        <v>3.2124505661951148</v>
      </c>
      <c r="L503">
        <v>0</v>
      </c>
    </row>
    <row r="504" spans="1:12" x14ac:dyDescent="0.4">
      <c r="A504">
        <v>492</v>
      </c>
      <c r="B504">
        <f t="shared" si="63"/>
        <v>0.39278557114228363</v>
      </c>
      <c r="C504">
        <f t="shared" si="64"/>
        <v>6.8553477742060755E-3</v>
      </c>
      <c r="D504">
        <f t="shared" si="69"/>
        <v>177.4926606720455</v>
      </c>
      <c r="E504">
        <f t="shared" si="65"/>
        <v>1.0572768784060997</v>
      </c>
      <c r="F504">
        <f t="shared" si="70"/>
        <v>0.22022528874533395</v>
      </c>
      <c r="G504">
        <f t="shared" si="71"/>
        <v>32.123842743920726</v>
      </c>
      <c r="H504">
        <f t="shared" si="66"/>
        <v>1.6269053377433684</v>
      </c>
      <c r="J504">
        <f t="shared" si="67"/>
        <v>2.2022528874533397E-2</v>
      </c>
      <c r="K504">
        <f t="shared" si="68"/>
        <v>3.2123842743920727</v>
      </c>
      <c r="L504">
        <v>0</v>
      </c>
    </row>
    <row r="505" spans="1:12" x14ac:dyDescent="0.4">
      <c r="A505">
        <v>493</v>
      </c>
      <c r="B505">
        <f t="shared" si="63"/>
        <v>0.336673346693388</v>
      </c>
      <c r="C505">
        <f t="shared" si="64"/>
        <v>5.8760245887478635E-3</v>
      </c>
      <c r="D505">
        <f t="shared" si="69"/>
        <v>177.84868333862113</v>
      </c>
      <c r="E505">
        <f t="shared" si="65"/>
        <v>0.90732165734274872</v>
      </c>
      <c r="F505">
        <f t="shared" si="70"/>
        <v>0.18876033646927801</v>
      </c>
      <c r="G505">
        <f t="shared" si="71"/>
        <v>32.123262056420295</v>
      </c>
      <c r="H505">
        <f t="shared" si="66"/>
        <v>1.3954775512817159</v>
      </c>
      <c r="J505">
        <f t="shared" si="67"/>
        <v>1.88760336469278E-2</v>
      </c>
      <c r="K505">
        <f t="shared" si="68"/>
        <v>3.2123262056420296</v>
      </c>
      <c r="L505">
        <v>0</v>
      </c>
    </row>
    <row r="506" spans="1:12" x14ac:dyDescent="0.4">
      <c r="A506">
        <v>494</v>
      </c>
      <c r="B506">
        <f t="shared" si="63"/>
        <v>0.28056112224448881</v>
      </c>
      <c r="C506">
        <f t="shared" si="64"/>
        <v>4.8966957675193878E-3</v>
      </c>
      <c r="D506">
        <f t="shared" si="69"/>
        <v>178.20542889385987</v>
      </c>
      <c r="E506">
        <f t="shared" si="65"/>
        <v>0.75700499194782367</v>
      </c>
      <c r="F506">
        <f t="shared" si="70"/>
        <v>0.15729728723141825</v>
      </c>
      <c r="G506">
        <f t="shared" si="71"/>
        <v>32.122763773776725</v>
      </c>
      <c r="H506">
        <f t="shared" si="66"/>
        <v>1.1637491122641865</v>
      </c>
      <c r="J506">
        <f t="shared" si="67"/>
        <v>1.5729728723141826E-2</v>
      </c>
      <c r="K506">
        <f t="shared" si="68"/>
        <v>3.2122763773776724</v>
      </c>
      <c r="L506">
        <v>0</v>
      </c>
    </row>
    <row r="507" spans="1:12" x14ac:dyDescent="0.4">
      <c r="A507">
        <v>495</v>
      </c>
      <c r="B507">
        <f t="shared" si="63"/>
        <v>0.22444889779558963</v>
      </c>
      <c r="C507">
        <f t="shared" si="64"/>
        <v>3.9173622498074878E-3</v>
      </c>
      <c r="D507">
        <f t="shared" si="69"/>
        <v>178.56289733776171</v>
      </c>
      <c r="E507">
        <f t="shared" si="65"/>
        <v>0.606326882221353</v>
      </c>
      <c r="F507">
        <f t="shared" si="70"/>
        <v>0.12583583924406477</v>
      </c>
      <c r="G507">
        <f t="shared" si="71"/>
        <v>32.122348073714619</v>
      </c>
      <c r="H507">
        <f t="shared" si="66"/>
        <v>0.93170313706042096</v>
      </c>
      <c r="J507">
        <f t="shared" si="67"/>
        <v>1.2583583924406477E-2</v>
      </c>
      <c r="K507">
        <f t="shared" si="68"/>
        <v>3.2122348073714617</v>
      </c>
      <c r="L507">
        <v>0</v>
      </c>
    </row>
    <row r="508" spans="1:12" x14ac:dyDescent="0.4">
      <c r="A508">
        <v>496</v>
      </c>
      <c r="B508">
        <f t="shared" si="63"/>
        <v>0.168336673346694</v>
      </c>
      <c r="C508">
        <f t="shared" si="64"/>
        <v>2.9380249749035043E-3</v>
      </c>
      <c r="D508">
        <f t="shared" si="69"/>
        <v>178.92108867032661</v>
      </c>
      <c r="E508">
        <f t="shared" si="65"/>
        <v>0.45528732816335094</v>
      </c>
      <c r="F508">
        <f t="shared" si="70"/>
        <v>9.4375690043795535E-2</v>
      </c>
      <c r="G508">
        <f t="shared" si="71"/>
        <v>32.122015137389646</v>
      </c>
      <c r="H508">
        <f t="shared" si="66"/>
        <v>0.69932256843513196</v>
      </c>
      <c r="J508">
        <f t="shared" si="67"/>
        <v>9.4375690043795538E-3</v>
      </c>
      <c r="K508">
        <f t="shared" si="68"/>
        <v>3.2122015137389646</v>
      </c>
      <c r="L508">
        <v>0</v>
      </c>
    </row>
    <row r="509" spans="1:12" x14ac:dyDescent="0.4">
      <c r="A509">
        <v>497</v>
      </c>
      <c r="B509">
        <f t="shared" si="63"/>
        <v>0.11222444889779482</v>
      </c>
      <c r="C509">
        <f t="shared" si="64"/>
        <v>1.9586848821021956E-3</v>
      </c>
      <c r="D509">
        <f t="shared" si="69"/>
        <v>179.28000289155466</v>
      </c>
      <c r="E509">
        <f t="shared" si="65"/>
        <v>0.30388632977377483</v>
      </c>
      <c r="F509">
        <f t="shared" si="70"/>
        <v>6.2916536472684664E-2</v>
      </c>
      <c r="G509">
        <f t="shared" si="71"/>
        <v>32.121765149422465</v>
      </c>
      <c r="H509">
        <f t="shared" si="66"/>
        <v>0.46659016961519484</v>
      </c>
      <c r="J509">
        <f t="shared" si="67"/>
        <v>6.2916536472684666E-3</v>
      </c>
      <c r="K509">
        <f t="shared" si="68"/>
        <v>3.2121765149422465</v>
      </c>
      <c r="L509">
        <v>0</v>
      </c>
    </row>
    <row r="510" spans="1:12" x14ac:dyDescent="0.4">
      <c r="A510">
        <v>498</v>
      </c>
      <c r="B510">
        <f t="shared" si="63"/>
        <v>5.6112224448899184E-2</v>
      </c>
      <c r="C510">
        <f t="shared" si="64"/>
        <v>9.7934291070127309E-4</v>
      </c>
      <c r="D510">
        <f t="shared" si="69"/>
        <v>179.63964000144577</v>
      </c>
      <c r="E510">
        <f t="shared" si="65"/>
        <v>0.15212388705266733</v>
      </c>
      <c r="F510">
        <f t="shared" si="70"/>
        <v>3.1458074659396942E-2</v>
      </c>
      <c r="G510">
        <f t="shared" si="71"/>
        <v>32.121598297933161</v>
      </c>
      <c r="H510">
        <f t="shared" si="66"/>
        <v>0.23348851821299055</v>
      </c>
      <c r="J510">
        <f t="shared" si="67"/>
        <v>3.1458074659396944E-3</v>
      </c>
      <c r="K510">
        <f t="shared" si="68"/>
        <v>3.212159829793316</v>
      </c>
      <c r="L510">
        <v>0</v>
      </c>
    </row>
    <row r="511" spans="1:12" x14ac:dyDescent="0.4">
      <c r="A511">
        <v>499</v>
      </c>
      <c r="B511">
        <f t="shared" si="63"/>
        <v>0</v>
      </c>
      <c r="C511">
        <f t="shared" si="64"/>
        <v>0</v>
      </c>
      <c r="D511">
        <f t="shared" si="69"/>
        <v>180</v>
      </c>
      <c r="E511">
        <f t="shared" si="65"/>
        <v>0</v>
      </c>
      <c r="F511">
        <f t="shared" si="70"/>
        <v>1.9676812097698256E-15</v>
      </c>
      <c r="G511">
        <f t="shared" si="71"/>
        <v>32.121514774576255</v>
      </c>
      <c r="H511">
        <f t="shared" si="66"/>
        <v>0</v>
      </c>
      <c r="J511">
        <f t="shared" si="67"/>
        <v>1.9676812097698257E-16</v>
      </c>
      <c r="K511">
        <f t="shared" si="68"/>
        <v>3.2121514774576254</v>
      </c>
      <c r="L511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晟乃 中村</dc:creator>
  <cp:lastModifiedBy>晟乃 中村</cp:lastModifiedBy>
  <dcterms:created xsi:type="dcterms:W3CDTF">2026-02-10T15:53:36Z</dcterms:created>
  <dcterms:modified xsi:type="dcterms:W3CDTF">2026-02-18T08:22:58Z</dcterms:modified>
</cp:coreProperties>
</file>